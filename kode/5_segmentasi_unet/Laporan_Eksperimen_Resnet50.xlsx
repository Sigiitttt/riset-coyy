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II\Downloads\"/>
    </mc:Choice>
  </mc:AlternateContent>
  <xr:revisionPtr revIDLastSave="0" documentId="13_ncr:1_{D8F573B7-80C7-4DC9-A370-CBA6819C3997}" xr6:coauthVersionLast="47" xr6:coauthVersionMax="47" xr10:uidLastSave="{00000000-0000-0000-0000-000000000000}"/>
  <bookViews>
    <workbookView xWindow="-108" yWindow="-108" windowWidth="23256" windowHeight="13176" tabRatio="500" firstSheet="5" activeTab="7" xr2:uid="{00000000-000D-0000-FFFF-FFFF00000000}"/>
  </bookViews>
  <sheets>
    <sheet name="1. Ringkasan" sheetId="1" r:id="rId1"/>
    <sheet name="2. Dataset" sheetId="2" r:id="rId2"/>
    <sheet name="3. Metodologi" sheetId="3" r:id="rId3"/>
    <sheet name="4. Eksperimen" sheetId="4" r:id="rId4"/>
    <sheet name="5. Hasil Akurasi" sheetId="5" r:id="rId5"/>
    <sheet name="6. Per Kelas" sheetId="6" r:id="rId6"/>
    <sheet name="7. Confusion Matrix" sheetId="7" r:id="rId7"/>
    <sheet name="8. Grafik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5" i="7" l="1"/>
  <c r="E34" i="7"/>
  <c r="E33" i="7"/>
  <c r="E29" i="7"/>
  <c r="E28" i="7"/>
  <c r="E27" i="7"/>
  <c r="E23" i="7"/>
  <c r="E22" i="7"/>
  <c r="E21" i="7"/>
  <c r="E17" i="7"/>
  <c r="E16" i="7"/>
  <c r="E15" i="7"/>
  <c r="E11" i="7"/>
  <c r="E10" i="7"/>
  <c r="E9" i="7"/>
  <c r="E5" i="7"/>
  <c r="E4" i="7"/>
  <c r="E3" i="7"/>
  <c r="D3" i="6" s="1"/>
  <c r="C20" i="6"/>
  <c r="C19" i="6"/>
  <c r="C18" i="6"/>
  <c r="C17" i="6"/>
  <c r="F16" i="6"/>
  <c r="D16" i="6"/>
  <c r="C16" i="6"/>
  <c r="E16" i="6" s="1"/>
  <c r="F15" i="6"/>
  <c r="D15" i="6"/>
  <c r="C15" i="6"/>
  <c r="E15" i="6" s="1"/>
  <c r="F14" i="6"/>
  <c r="D14" i="6"/>
  <c r="C14" i="6"/>
  <c r="E14" i="6" s="1"/>
  <c r="F13" i="6"/>
  <c r="D13" i="6"/>
  <c r="C13" i="6"/>
  <c r="E13" i="6" s="1"/>
  <c r="F12" i="6"/>
  <c r="D12" i="6"/>
  <c r="C12" i="6"/>
  <c r="E12" i="6" s="1"/>
  <c r="E5" i="5" s="1"/>
  <c r="F11" i="6"/>
  <c r="D11" i="6"/>
  <c r="C11" i="6"/>
  <c r="E11" i="6" s="1"/>
  <c r="F10" i="6"/>
  <c r="D10" i="6"/>
  <c r="C10" i="6"/>
  <c r="E10" i="6" s="1"/>
  <c r="F9" i="6"/>
  <c r="D9" i="6"/>
  <c r="C9" i="6"/>
  <c r="E9" i="6" s="1"/>
  <c r="E4" i="5" s="1"/>
  <c r="F8" i="6"/>
  <c r="D8" i="6"/>
  <c r="C8" i="6"/>
  <c r="E8" i="6" s="1"/>
  <c r="F7" i="6"/>
  <c r="D7" i="6"/>
  <c r="C7" i="6"/>
  <c r="E7" i="6" s="1"/>
  <c r="F6" i="6"/>
  <c r="D6" i="6"/>
  <c r="C6" i="6"/>
  <c r="E6" i="6" s="1"/>
  <c r="E3" i="5" s="1"/>
  <c r="F5" i="6"/>
  <c r="D5" i="6"/>
  <c r="C5" i="6"/>
  <c r="E5" i="6" s="1"/>
  <c r="F4" i="6"/>
  <c r="D4" i="6"/>
  <c r="C4" i="6"/>
  <c r="E4" i="6" s="1"/>
  <c r="F3" i="6"/>
  <c r="C3" i="6"/>
  <c r="C7" i="5"/>
  <c r="F6" i="5"/>
  <c r="C6" i="5"/>
  <c r="G5" i="5"/>
  <c r="F5" i="5"/>
  <c r="C5" i="5"/>
  <c r="B5" i="5"/>
  <c r="D5" i="5" s="1"/>
  <c r="G4" i="5"/>
  <c r="F4" i="5"/>
  <c r="C4" i="5"/>
  <c r="B4" i="5"/>
  <c r="D4" i="5" s="1"/>
  <c r="G3" i="5"/>
  <c r="F3" i="5"/>
  <c r="C3" i="5"/>
  <c r="B3" i="5"/>
  <c r="D3" i="5" s="1"/>
  <c r="G2" i="5"/>
  <c r="B2" i="5"/>
  <c r="D5" i="4"/>
  <c r="D4" i="4"/>
  <c r="D3" i="4"/>
  <c r="D2" i="4"/>
  <c r="D13" i="2"/>
  <c r="C13" i="2"/>
  <c r="B13" i="2"/>
  <c r="E13" i="2" s="1"/>
  <c r="C6" i="2"/>
  <c r="D5" i="2"/>
  <c r="D4" i="2"/>
  <c r="D3" i="2"/>
  <c r="D6" i="2" s="1"/>
  <c r="D20" i="6" l="1"/>
  <c r="F20" i="6"/>
  <c r="F19" i="6"/>
  <c r="D19" i="6"/>
  <c r="E19" i="6" s="1"/>
  <c r="B7" i="5"/>
  <c r="F18" i="6"/>
  <c r="D18" i="6"/>
  <c r="B6" i="5"/>
  <c r="D17" i="6"/>
  <c r="F17" i="6"/>
  <c r="E3" i="6"/>
  <c r="E2" i="5" s="1"/>
  <c r="F2" i="5"/>
  <c r="E12" i="2"/>
  <c r="E11" i="2"/>
  <c r="E10" i="2"/>
  <c r="E20" i="6" l="1"/>
  <c r="G7" i="5"/>
  <c r="D7" i="5"/>
  <c r="D7" i="4"/>
  <c r="E18" i="6"/>
  <c r="E7" i="5" s="1"/>
  <c r="F7" i="5"/>
  <c r="B14" i="1" s="1"/>
  <c r="D6" i="5"/>
  <c r="B8" i="1"/>
  <c r="B13" i="1"/>
  <c r="B12" i="1"/>
  <c r="D6" i="4"/>
  <c r="E17" i="6"/>
  <c r="E6" i="5" s="1"/>
  <c r="G6" i="5"/>
  <c r="B15" i="1" s="1"/>
</calcChain>
</file>

<file path=xl/sharedStrings.xml><?xml version="1.0" encoding="utf-8"?>
<sst xmlns="http://schemas.openxmlformats.org/spreadsheetml/2006/main" count="243" uniqueCount="156">
  <si>
    <t>1. Informasi Umum Proyek</t>
  </si>
  <si>
    <t>Komponen</t>
  </si>
  <si>
    <t>Keterangan</t>
  </si>
  <si>
    <t>Judul Proyek</t>
  </si>
  <si>
    <t>Eksperimen Segmentasi U-Net dan Klasifikasi Lesi Kanker Kulit (3 Kelas)</t>
  </si>
  <si>
    <t>Tujuan Utama</t>
  </si>
  <si>
    <t>Mencari alur kerja dan model terbaik untuk mendeteksi melanoma dengan target akurasi di atas 80%.</t>
  </si>
  <si>
    <t>Kelas Penyakit</t>
  </si>
  <si>
    <t>Melanoma (kanker ganas), Nevus (tahi lalat jinak), dan Seborrheic Keratosis (benjolan jinak).</t>
  </si>
  <si>
    <t>Sumber Data</t>
  </si>
  <si>
    <t>Gabungan HAM10000 dan ISIC 2019 (irisan 3 kelas: nevus, melanoma, seborrheic keratosis): 24.466 citra (train 19.713 / val 2.410 / test 2.343). Evaluasi akhir memakai 2.343 citra data uji terpisah.</t>
  </si>
  <si>
    <t>Metode Kunci</t>
  </si>
  <si>
    <t>Hair removal → crop area lesi dari mask U-Net (bounding box + padding 15%) → CLAHE → resize 224×224 (256×256 pada EXP 2) sebelum masuk ke model klasifikasi. U-Net ResNet-34: Val Dice 0.9368.</t>
  </si>
  <si>
    <t>Model Terbaik</t>
  </si>
  <si>
    <t>2. Ringkasan Capaian Utama</t>
  </si>
  <si>
    <t>Metrik Evaluasi</t>
  </si>
  <si>
    <t>Hasil &amp; Catatan</t>
  </si>
  <si>
    <t>Akurasi Tertinggi</t>
  </si>
  <si>
    <t>Akurasi Terendah</t>
  </si>
  <si>
    <t>Recall Melanoma Terbaik</t>
  </si>
  <si>
    <t>Recall Keratosis Terbaik</t>
  </si>
  <si>
    <t>Sebaran Data Pengujian (Test Set Independen)</t>
  </si>
  <si>
    <t>Nama Penyakit</t>
  </si>
  <si>
    <t>Jenis Lesi</t>
  </si>
  <si>
    <t>Jumlah Gambar</t>
  </si>
  <si>
    <t>Porsi (%)</t>
  </si>
  <si>
    <t>Keterangan Praktis</t>
  </si>
  <si>
    <t>Melanoma</t>
  </si>
  <si>
    <t>Kanker ganas</t>
  </si>
  <si>
    <t>Jumlahnya sedikit tapi paling berbahaya. Fokus utama agar tidak lolos (recall tinggi).</t>
  </si>
  <si>
    <t>Nevus</t>
  </si>
  <si>
    <t>Tahi lalat jinak</t>
  </si>
  <si>
    <t>Jumlahnya paling banyak dan dominan. Model mudah bias menebak kelas ini.</t>
  </si>
  <si>
    <t>Seborrheic Keratosis</t>
  </si>
  <si>
    <t>Benjolan kulit jinak</t>
  </si>
  <si>
    <t>Jumlah paling sedikit. Recall kelas ini bervariasi 59.6%–78.2% antar model (Sheet 6).</t>
  </si>
  <si>
    <t>Total Gambar Uji</t>
  </si>
  <si>
    <t>-</t>
  </si>
  <si>
    <t>Data uji yang tidak dipakai saat pelatihan; split resmi bebas kebocoran (asersi tanpa irisan ID antar split di kode).</t>
  </si>
  <si>
    <t>Sebaran Seluruh Dataset (HAM10000 + ISIC 2019, irisan 3 kelas)</t>
  </si>
  <si>
    <t>Train</t>
  </si>
  <si>
    <t>Val</t>
  </si>
  <si>
    <t>Test</t>
  </si>
  <si>
    <t>Total (Porsi dari seluruh data)</t>
  </si>
  <si>
    <t>Total</t>
  </si>
  <si>
    <t>No</t>
  </si>
  <si>
    <t>Tahap Alur Kerja</t>
  </si>
  <si>
    <t>Alat / Model</t>
  </si>
  <si>
    <t>Pengaturan &amp; Konfigurasi</t>
  </si>
  <si>
    <t>Tujuan Proses</t>
  </si>
  <si>
    <t>Segmentasi Lesi</t>
  </si>
  <si>
    <t>U-Net (encoder ResNet-34, pretrained ImageNet)</t>
  </si>
  <si>
    <t>Loss BCE + (1 − Dice), AdamW lr 1e-3, 15 epoch, input 256×256, batch 32. Dilatih dari mask HAM10000 (8.007 train / 981 val; 1.025 data test diisolasi). Val Dice terbaik 0.9368, Val IoU 0.8817 (epoch 13). Mask pseudo dibuat untuk 33.569 citra ISIC 2019.</t>
  </si>
  <si>
    <t>Mencari letak dan batas tepi lesi pada kulit.</t>
  </si>
  <si>
    <t>Penghilangan Rambut &amp; Peningkatan Kontras</t>
  </si>
  <si>
    <t>OpenCV (black-hat + inpainting, CLAHE)</t>
  </si>
  <si>
    <t>Hair removal: black-hat → threshold 10 → dilasi → inpainting Telea. CLAHE pada kanal L (LAB), clipLimit 2.0, tile 8×8.</t>
  </si>
  <si>
    <t>Membersihkan rambut dan mempertajam tekstur lesi.</t>
  </si>
  <si>
    <t>Pemotongan Gambar (Crop ROI)</t>
  </si>
  <si>
    <t>Bounding box dari mask + OpenCV</t>
  </si>
  <si>
    <t>Bounding box lesi dari mask (closing 5×5) + padding 15%, lalu letterbox (reflect) dan resize ke 224×224 (256×256 pada EXP 2).</t>
  </si>
  <si>
    <t>Membuang latar yang tidak relevan dan menjaga proporsi lesi.</t>
  </si>
  <si>
    <t>Augmentasi Data Latih</t>
  </si>
  <si>
    <t>Keras ImageDataGenerator</t>
  </si>
  <si>
    <t>Baseline/EXP 3/EXP 5-A: rotasi ±15°, brightness 0.7–1.3, zoom 0.15, shift 0.1, flip H/V. EXP 1 &amp; EXP 2: rotasi ±10°, zoom 0.10, shift 0.05, flip H/V, tanpa brightness. Val/test tidak diaugmentasi.</t>
  </si>
  <si>
    <t>Menambah variasi bentuk saat latihan.</t>
  </si>
  <si>
    <t>Pelatihan Klasifikasi</t>
  </si>
  <si>
    <t>ResNet-50 (pretrained) + Triplet Attention; EfficientNetV2-S pada EXP 5-A</t>
  </si>
  <si>
    <t>Fase 1: warm-up head 5 epoch, AdamW lr 1e-4. Fase 2: fine-tune 25 epoch, AdamW lr 1.5e-5, buka blok conv4–conv5 (BatchNorm dibekukan). Loss Cross-Entropy + label smoothing 0.05. Head: GAP + GMP (+ fitur Triplet Attention conv4 pada ResNet-50) → BatchNorm → Dense 256 (L2 1e-4, Dropout 0.35) → Dense 128 (Dropout 0.25) → softmax 3 kelas. Batch 256 (ResNet-50), 128 (EXP 5-A).</t>
  </si>
  <si>
    <t>Memprediksi Melanoma, Nevus, atau Seborrheic Keratosis.</t>
  </si>
  <si>
    <t>Pemilihan Model Terbaik</t>
  </si>
  <si>
    <t>Early Stopping, ReduceLROnPlateau, ModelCheckpoint</t>
  </si>
  <si>
    <t>Monitor val_pr_auc (EarlyStopping patience 8, restore best weights; checkpoint simpan PR-AUC tertinggi); ReduceLROnPlateau pada val_loss (faktor 0.5, patience 3). Skor seleksi internal = rata-rata (Akurasi, Macro-F1, Recall Melanoma, Recall SK) pada test set.</t>
  </si>
  <si>
    <t>Menyimpan checkpoint saat model optimal membedakan kelas minoritas.</t>
  </si>
  <si>
    <t>Nama Eksperimen</t>
  </si>
  <si>
    <t>Perubahan / Pengaturan</t>
  </si>
  <si>
    <t>Akurasi Test</t>
  </si>
  <si>
    <t>Catatan Hasil</t>
  </si>
  <si>
    <t>Waktu Latih (menit)</t>
  </si>
  <si>
    <t>Eksperimen Awal (Notebook 01)</t>
  </si>
  <si>
    <t>ROI crop U-Net 224×224, ResNet-50 + Triplet Attention. Output mencatat class weight balanced (Mel 1.40; Nevus 0.53; SK 2.52). Notebook dinamai 'focalloss', tetapi kode tersimpan memakai Cross-Entropy + label smoothing 0.05, jadi jenis loss run ini tidak dapat diverifikasi dari kode.</t>
  </si>
  <si>
    <t>Akurasi terendah. Recall SK 78.2% tetapi presisi SK hanya 33.0%: 326 citra nevus salah diprediksi SK. Recall melanoma 47.2%.</t>
  </si>
  <si>
    <t>n/a</t>
  </si>
  <si>
    <t>Baseline (Notebook 02)</t>
  </si>
  <si>
    <t>ROI crop U-Net (padding 15%) 224×224, ResNet-50 + Triplet Attention (conv4, fitur di-concat), Cross-Entropy + label smoothing 0.05 tanpa class weight pada fit. Augmentasi: rotasi ±15°, brightness 0.7–1.3, zoom 0.15, shift 0.1, flip H/V. Training 2 fase (5 epoch warm-up + 25 epoch fine-tune conv4–conv5, AdamW).</t>
  </si>
  <si>
    <t>Akurasi tertinggi di antara varian ResNet-50. Macro-F1 0.7352; recall melanoma 58.7%, SK 66.3%.</t>
  </si>
  <si>
    <t>EXP 1 (Notebook 03)</t>
  </si>
  <si>
    <t>Baseline dengan augmentasi lebih ringan: rotasi ±10°, zoom 0.10, shift 0.05, flip H/V, tanpa brightness.</t>
  </si>
  <si>
    <t>−0.60 pp vs Baseline. Recall SK naik ke 69.6%, recall melanoma turun ke 56.9%. Skor seleksi 0.6997.</t>
  </si>
  <si>
    <t>EXP 2 (Notebook 04)</t>
  </si>
  <si>
    <t>EXP 1 dengan resolusi input 256×256 (satu-satunya variabel yang diubah menurut komentar kode).</t>
  </si>
  <si>
    <t>+0.30 pp vs EXP 1. Recall melanoma 60.6% (tertinggi di antara semua model), SK 71.2%. Skor seleksi 0.7159. Waktu latih ±2× EXP 1.</t>
  </si>
  <si>
    <t>EXP 3 (Notebook 05)</t>
  </si>
  <si>
    <t>Dual-stream: dua input (ROI crop + full image, keduanya 224×224) lewat satu backbone ResNet-50 berbagi bobot; fitur kedua stream (10.240 dimensi) digabung sebelum head klasifikasi.</t>
  </si>
  <si>
    <t>−0.34 pp vs Baseline. Recall nevus tertinggi (94.2%) tetapi recall melanoma 55.9% dan SK 59.6% turun. Early stopping di epoch 22 (bobot terbaik epoch 14).</t>
  </si>
  <si>
    <t>EXP 5-A (Notebook 06)</t>
  </si>
  <si>
    <t>Backbone diganti EfficientNetV2-S (pretrained ImageNet), head baseline (GAP + GMP, tanpa Triplet Attention), input 224×224, batch 128, augmentasi seperti Baseline. Nama file notebook ini 'exp4_resnet50_truetriplet', tetapi isi kode dan outputnya adalah EfficientNetV2-S.</t>
  </si>
  <si>
    <t>Akurasi tertinggi seluruh eksperimen (+0.98 pp vs Baseline). Macro-F1 0.7484; recall melanoma 58.3%, SK 73.4%. Skor seleksi 0.7216.</t>
  </si>
  <si>
    <t>Tahap Eksperimen</t>
  </si>
  <si>
    <t>Akurasi Test (%)</t>
  </si>
  <si>
    <t>Pembanding</t>
  </si>
  <si>
    <t>Selisih vs Pembanding</t>
  </si>
  <si>
    <t>Macro-F1</t>
  </si>
  <si>
    <t>Recall Melanoma</t>
  </si>
  <si>
    <t>Recall SK</t>
  </si>
  <si>
    <t>Ringkasan Perubahan</t>
  </si>
  <si>
    <t>Eksperimen Awal</t>
  </si>
  <si>
    <t>Run awal: class weight balanced (Mel 1.40; Nevus 0.53; SK 2.52) pada pipeline ROI crop U-Net</t>
  </si>
  <si>
    <t>Baseline</t>
  </si>
  <si>
    <t>Crop ROI U-Net 224×224, ResNet-50 + Triplet Attention, tanpa class weight, augmentasi rotasi ±15°/brightness/zoom 0.15</t>
  </si>
  <si>
    <t>EXP 1</t>
  </si>
  <si>
    <t>Augmentasi diperingan: rotasi ±10°, zoom 0.10, shift 0.05, tanpa brightness</t>
  </si>
  <si>
    <t>EXP 2</t>
  </si>
  <si>
    <t>Resolusi input dinaikkan 224×224 → 256×256 (augmentasi sama dengan EXP 1)</t>
  </si>
  <si>
    <t>EXP 3</t>
  </si>
  <si>
    <t>Dual-stream: dua input (ROI + full image) dengan backbone ResNet-50 berbagi bobot, fitur digabung</t>
  </si>
  <si>
    <t>EXP 5-A</t>
  </si>
  <si>
    <t>Backbone diganti EfficientNetV2-S (head baseline, input 224×224, batch 128)</t>
  </si>
  <si>
    <t>Perbandingan Performa per Kelas pada Data Uji (Test Set) — dihitung dari Confusion Matrix (Sheet 7)</t>
  </si>
  <si>
    <t>Model</t>
  </si>
  <si>
    <t>Kelas</t>
  </si>
  <si>
    <t>Presisi</t>
  </si>
  <si>
    <t>Recall</t>
  </si>
  <si>
    <t>F1-Score</t>
  </si>
  <si>
    <t>Support</t>
  </si>
  <si>
    <t>Catatan</t>
  </si>
  <si>
    <t>Recall terendah dari semua model (47.2%); 169 citra melanoma diprediksi SK.</t>
  </si>
  <si>
    <t>Recall nevus hanya 68.9%: 326 citra nevus salah diprediksi SK dan 138 sebagai melanoma.</t>
  </si>
  <si>
    <t>Recall tertinggi dari semua model (78.2%) tetapi presisi hanya 33.0%.</t>
  </si>
  <si>
    <t>Presisi 73.0%, recall 58.7% (acuan pembanding EXP 1, EXP 3, EXP 5-A).</t>
  </si>
  <si>
    <t>Presisi 86.2%, recall 92.3% (acuan pembanding EXP 1, EXP 3, EXP 5-A).</t>
  </si>
  <si>
    <t>Presisi 66.3%, recall 66.3% (acuan pembanding EXP 1, EXP 3, EXP 5-A).</t>
  </si>
  <si>
    <t>Recall 56.9% (-1.9 pp vs Baseline); presisi 72.1% (-1.0 pp).</t>
  </si>
  <si>
    <t>Recall 91.3% (-0.9 pp vs Baseline); presisi 86.3% (+0.2 pp).</t>
  </si>
  <si>
    <t>Recall 69.6% (+3.2 pp vs Baseline); presisi 64.0% (-2.3 pp).</t>
  </si>
  <si>
    <t>Recall 60.6% (+3.7 pp vs EXP 1); presisi 70.9% (-1.1 pp). Recall tertinggi di antara semua model.</t>
  </si>
  <si>
    <t>Recall 90.1% (-1.2 pp vs EXP 1); presisi 87.5% (+1.2 pp).</t>
  </si>
  <si>
    <t>Recall 71.2% (+1.6 pp vs EXP 1); presisi 64.2% (+0.2 pp).</t>
  </si>
  <si>
    <t>Recall 55.9% (-2.8 pp vs Baseline); presisi 73.5% (+0.4 pp).</t>
  </si>
  <si>
    <t>Recall 94.2% (+1.9 pp vs Baseline); presisi 84.3% (-1.8 pp). Recall tertinggi di antara semua model.</t>
  </si>
  <si>
    <t>Recall 59.6% (-6.7 pp vs Baseline); presisi 69.7% (+3.3 pp).</t>
  </si>
  <si>
    <t>Recall 58.3% (-0.4 pp vs Baseline); presisi 77.0% (+4.0 pp).</t>
  </si>
  <si>
    <t>Recall 92.5% (+0.2 pp vs Baseline); presisi 87.6% (+1.4 pp).</t>
  </si>
  <si>
    <t>Recall 73.4% (+7.1 pp vs Baseline); presisi 63.6% (-2.7 pp).</t>
  </si>
  <si>
    <t>Model: Eksperimen Awal — Test Set (2.343 citra) — sumber: notebook 01_exp_awal_focalloss_ak65</t>
  </si>
  <si>
    <t>Label Asli \ Tebakan</t>
  </si>
  <si>
    <t>Tebak: Melanoma</t>
  </si>
  <si>
    <t>Tebak: Nevus</t>
  </si>
  <si>
    <t>Tebak: Keratosis (SK)</t>
  </si>
  <si>
    <t>Total Aktual</t>
  </si>
  <si>
    <t>Model: Baseline — Test Set (2.343 citra) — sumber: notebook 02_baseline_resnet50_roi_ak81</t>
  </si>
  <si>
    <t>Model: EXP 1 — Test Set (2.343 citra) — sumber: notebook 03_exp1_resnet50_augmentasi</t>
  </si>
  <si>
    <t>Model: EXP 2 — Test Set (2.343 citra) — sumber: notebook 04_exp2_resnet50_resolusi256</t>
  </si>
  <si>
    <t>Model: EXP 3 — Test Set (2.343 citra) — sumber: notebook 05_exp3_resnet50_dualstream</t>
  </si>
  <si>
    <t>Model: EXP 5-A — Test Set (2.343 citra) — sumber: notebook 06 (isi: EfficientNetV2-S)</t>
  </si>
  <si>
    <t>Catatan: angka dibaca dari gambar confusion matrix (Test Set) pada output notebook. Diagonal (hijau) = prediksi benar.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</si>
</sst>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%"/>
    <numFmt numFmtId="166" formatCode="\+0.00&quot; pp&quot;;\-0.00&quot; pp&quot;;0.00&quot; pp&quot;"/>
  </numFmts>
  <fonts count="6" x14ac:knownFonts="1">
    <font>
      <sz val="11"/>
      <color theme="1"/>
      <name val="Calibri"/>
      <family val="2"/>
      <charset val="1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i/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AEDED"/>
        <bgColor rgb="FFD5F5E3"/>
      </patternFill>
    </fill>
    <fill>
      <patternFill patternType="solid">
        <fgColor rgb="FF2C3E50"/>
        <bgColor rgb="FF333399"/>
      </patternFill>
    </fill>
    <fill>
      <patternFill patternType="solid">
        <fgColor rgb="FFD5F5E3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 wrapText="1"/>
    </xf>
    <xf numFmtId="0" fontId="5" fillId="0" borderId="0" xfId="0" applyFont="1"/>
    <xf numFmtId="0" fontId="4" fillId="0" borderId="1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EAEDE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Grafik Perkembangan Akurasi Model pada Data Uji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Hasil Akurasi'!$B$1</c:f>
              <c:strCache>
                <c:ptCount val="1"/>
                <c:pt idx="0">
                  <c:v>Akurasi Test (%)</c:v>
                </c:pt>
              </c:strCache>
            </c:strRef>
          </c:tx>
          <c:spPr>
            <a:ln w="28080">
              <a:solidFill>
                <a:srgbClr val="2C3E50"/>
              </a:solidFill>
              <a:round/>
            </a:ln>
          </c:spPr>
          <c:marker>
            <c:symbol val="circle"/>
            <c:size val="7"/>
            <c:spPr>
              <a:solidFill>
                <a:srgbClr val="2C3E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Hasil Akurasi'!$A$2:$A$7</c:f>
              <c:strCache>
                <c:ptCount val="6"/>
                <c:pt idx="0">
                  <c:v>Eksperimen Awal</c:v>
                </c:pt>
                <c:pt idx="1">
                  <c:v>Baseline</c:v>
                </c:pt>
                <c:pt idx="2">
                  <c:v>EXP 1</c:v>
                </c:pt>
                <c:pt idx="3">
                  <c:v>EXP 2</c:v>
                </c:pt>
                <c:pt idx="4">
                  <c:v>EXP 3</c:v>
                </c:pt>
                <c:pt idx="5">
                  <c:v>EXP 5-A</c:v>
                </c:pt>
              </c:strCache>
            </c:strRef>
          </c:cat>
          <c:val>
            <c:numRef>
              <c:f>'5. Hasil Akurasi'!$B$2:$B$7</c:f>
              <c:numCache>
                <c:formatCode>0.00%</c:formatCode>
                <c:ptCount val="6"/>
                <c:pt idx="0">
                  <c:v>0.65130174989329914</c:v>
                </c:pt>
                <c:pt idx="1">
                  <c:v>0.81092616303883913</c:v>
                </c:pt>
                <c:pt idx="2">
                  <c:v>0.80495091762697402</c:v>
                </c:pt>
                <c:pt idx="3">
                  <c:v>0.80793854033290657</c:v>
                </c:pt>
                <c:pt idx="4">
                  <c:v>0.80751173708920188</c:v>
                </c:pt>
                <c:pt idx="5">
                  <c:v>0.82074263764404609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81-497E-A1FD-12290948E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5476564"/>
        <c:axId val="90884709"/>
      </c:lineChart>
      <c:catAx>
        <c:axId val="754765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Eksperimen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884709"/>
        <c:crosses val="autoZero"/>
        <c:auto val="1"/>
        <c:lblAlgn val="ctr"/>
        <c:lblOffset val="100"/>
        <c:noMultiLvlLbl val="0"/>
      </c:catAx>
      <c:valAx>
        <c:axId val="90884709"/>
        <c:scaling>
          <c:orientation val="minMax"/>
          <c:max val="0.9"/>
          <c:min val="0.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Akurasi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476564"/>
        <c:crosses val="autoZero"/>
        <c:crossBetween val="between"/>
        <c:majorUnit val="0.0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581040</xdr:colOff>
      <xdr:row>17</xdr:row>
      <xdr:rowOff>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zoomScaleNormal="100" workbookViewId="0">
      <selection sqref="A1:B1"/>
    </sheetView>
  </sheetViews>
  <sheetFormatPr defaultColWidth="8.6640625" defaultRowHeight="14.4" x14ac:dyDescent="0.3"/>
  <cols>
    <col min="1" max="1" width="28" customWidth="1"/>
    <col min="2" max="2" width="95" customWidth="1"/>
  </cols>
  <sheetData>
    <row r="1" spans="1:2" ht="15" customHeight="1" x14ac:dyDescent="0.3">
      <c r="A1" s="2" t="s">
        <v>0</v>
      </c>
      <c r="B1" s="2"/>
    </row>
    <row r="2" spans="1:2" x14ac:dyDescent="0.3">
      <c r="A2" s="3" t="s">
        <v>1</v>
      </c>
      <c r="B2" s="3" t="s">
        <v>2</v>
      </c>
    </row>
    <row r="3" spans="1:2" x14ac:dyDescent="0.3">
      <c r="A3" s="4" t="s">
        <v>3</v>
      </c>
      <c r="B3" s="5" t="s">
        <v>4</v>
      </c>
    </row>
    <row r="4" spans="1:2" x14ac:dyDescent="0.3">
      <c r="A4" s="4" t="s">
        <v>5</v>
      </c>
      <c r="B4" s="5" t="s">
        <v>6</v>
      </c>
    </row>
    <row r="5" spans="1:2" x14ac:dyDescent="0.3">
      <c r="A5" s="4" t="s">
        <v>7</v>
      </c>
      <c r="B5" s="5" t="s">
        <v>8</v>
      </c>
    </row>
    <row r="6" spans="1:2" ht="27.6" x14ac:dyDescent="0.3">
      <c r="A6" s="4" t="s">
        <v>9</v>
      </c>
      <c r="B6" s="5" t="s">
        <v>10</v>
      </c>
    </row>
    <row r="7" spans="1:2" ht="27.6" x14ac:dyDescent="0.3">
      <c r="A7" s="4" t="s">
        <v>11</v>
      </c>
      <c r="B7" s="5" t="s">
        <v>12</v>
      </c>
    </row>
    <row r="8" spans="1:2" ht="27.6" x14ac:dyDescent="0.3">
      <c r="A8" s="4" t="s">
        <v>13</v>
      </c>
      <c r="B8" s="5" t="str">
        <f>INDEX('5. Hasil Akurasi'!A2:A7,MATCH(MAX('5. Hasil Akurasi'!B2:B7),'5. Hasil Akurasi'!B2:B7,0))&amp;" (EfficientNetV2-S, input 224×224): akurasi "&amp;TEXT(MAX('5. Hasil Akurasi'!B2:B7),"0.00%")&amp;", Macro-F1 "&amp;TEXT(INDEX('5. Hasil Akurasi'!E2:E7,MATCH(MAX('5. Hasil Akurasi'!B2:B7),'5. Hasil Akurasi'!B2:B7,0)),"0.0000")&amp;". Terbaik di antara varian ResNet-50: "&amp;INDEX('5. Hasil Akurasi'!A3:A6,MATCH(MAX('5. Hasil Akurasi'!B3:B6),'5. Hasil Akurasi'!B3:B6,0))&amp;" ("&amp;TEXT(MAX('5. Hasil Akurasi'!B3:B6),"0.00%")&amp;"). Selisih antar model kecil (margin kesalahan ±1.6 pp pada n=2.343, satu kali run)."</f>
        <v>EXP 5-A (EfficientNetV2-S, input 224×224): akurasi 082%, Macro-F1 00.001. Terbaik di antara varian ResNet-50: Baseline (081%). Selisih antar model kecil (margin kesalahan ±1.6 pp pada n=2.343, satu kali run).</v>
      </c>
    </row>
    <row r="9" spans="1:2" x14ac:dyDescent="0.3">
      <c r="A9" s="1"/>
      <c r="B9" s="1"/>
    </row>
    <row r="10" spans="1:2" ht="15" customHeight="1" x14ac:dyDescent="0.3">
      <c r="A10" s="2" t="s">
        <v>14</v>
      </c>
      <c r="B10" s="2"/>
    </row>
    <row r="11" spans="1:2" x14ac:dyDescent="0.3">
      <c r="A11" s="4" t="s">
        <v>15</v>
      </c>
      <c r="B11" s="5" t="s">
        <v>16</v>
      </c>
    </row>
    <row r="12" spans="1:2" x14ac:dyDescent="0.3">
      <c r="A12" s="4" t="s">
        <v>17</v>
      </c>
      <c r="B12" s="5" t="str">
        <f>TEXT(MAX('5. Hasil Akurasi'!B2:B7),"0.00%")&amp;" (Dicapai pada "&amp;INDEX('5. Hasil Akurasi'!A2:A7,MATCH(MAX('5. Hasil Akurasi'!B2:B7),'5. Hasil Akurasi'!B2:B7,0))&amp;")"</f>
        <v>082% (Dicapai pada EXP 5-A)</v>
      </c>
    </row>
    <row r="13" spans="1:2" x14ac:dyDescent="0.3">
      <c r="A13" s="4" t="s">
        <v>18</v>
      </c>
      <c r="B13" s="5" t="str">
        <f>TEXT(MIN('5. Hasil Akurasi'!B2:B7),"0.00%")&amp;" (Pada "&amp;INDEX('5. Hasil Akurasi'!A2:A7,MATCH(MIN('5. Hasil Akurasi'!B2:B7),'5. Hasil Akurasi'!B2:B7,0))&amp;"; presisi Seborrheic Keratosis hanya "&amp;TEXT('6. Per Kelas'!C5,"0.0%")&amp;" karena banyak nevus diprediksi sebagai SK)"</f>
        <v>065% (Pada Eksperimen Awal; presisi Seborrheic Keratosis hanya 33% karena banyak nevus diprediksi sebagai SK)</v>
      </c>
    </row>
    <row r="14" spans="1:2" x14ac:dyDescent="0.3">
      <c r="A14" s="4" t="s">
        <v>19</v>
      </c>
      <c r="B14" s="5" t="str">
        <f>TEXT(MAX('5. Hasil Akurasi'!F2:F7),"0.0%")&amp;" (Dicapai pada "&amp;INDEX('5. Hasil Akurasi'!A2:A7,MATCH(MAX('5. Hasil Akurasi'!F2:F7),'5. Hasil Akurasi'!F2:F7,0))&amp;": "&amp;ROUND(MAX('5. Hasil Akurasi'!F2:F7)*'6. Per Kelas'!F3,0)&amp;" dari "&amp;'6. Per Kelas'!F3&amp;" citra melanoma terdeteksi benar; naik dari "&amp;TEXT('5. Hasil Akurasi'!F2,"0.0%")&amp;" pada Eksperimen Awal)"</f>
        <v>61% (Dicapai pada EXP 2: 327 dari 540 citra melanoma terdeteksi benar; naik dari 47% pada Eksperimen Awal)</v>
      </c>
    </row>
    <row r="15" spans="1:2" x14ac:dyDescent="0.3">
      <c r="A15" s="4" t="s">
        <v>20</v>
      </c>
      <c r="B15" s="5" t="str">
        <f>TEXT(MAX('5. Hasil Akurasi'!G2:G7),"0.0%")&amp;" (Tertinggi pada "&amp;INDEX('5. Hasil Akurasi'!A2:A7,MATCH(MAX('5. Hasil Akurasi'!G2:G7),'5. Hasil Akurasi'!G2:G7,0))&amp;", tetapi dengan presisi rendah; tertinggi pada model lain: "&amp;TEXT(MAX('5. Hasil Akurasi'!G3:G7),"0.0%")&amp;" pada "&amp;INDEX('5. Hasil Akurasi'!A3:A7,MATCH(MAX('5. Hasil Akurasi'!G3:G7),'5. Hasil Akurasi'!G3:G7,0))&amp;")"</f>
        <v>78% (Tertinggi pada Eksperimen Awal, tetapi dengan presisi rendah; tertinggi pada model lain: 73% pada EXP 5-A)</v>
      </c>
    </row>
  </sheetData>
  <mergeCells count="3">
    <mergeCell ref="A1:B1"/>
    <mergeCell ref="A9:B9"/>
    <mergeCell ref="A10:B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Normal="100" workbookViewId="0">
      <selection activeCell="A15" sqref="A15:XFD15"/>
    </sheetView>
  </sheetViews>
  <sheetFormatPr defaultColWidth="8.6640625" defaultRowHeight="14.4" x14ac:dyDescent="0.3"/>
  <cols>
    <col min="1" max="1" width="25" customWidth="1"/>
    <col min="2" max="2" width="22" customWidth="1"/>
    <col min="3" max="3" width="16" customWidth="1"/>
    <col min="4" max="4" width="14" customWidth="1"/>
    <col min="5" max="5" width="85" customWidth="1"/>
  </cols>
  <sheetData>
    <row r="1" spans="1:5" ht="15" customHeight="1" x14ac:dyDescent="0.3">
      <c r="A1" s="2" t="s">
        <v>21</v>
      </c>
      <c r="B1" s="2"/>
      <c r="C1" s="2"/>
      <c r="D1" s="2"/>
      <c r="E1" s="2"/>
    </row>
    <row r="2" spans="1:5" x14ac:dyDescent="0.3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</row>
    <row r="3" spans="1:5" x14ac:dyDescent="0.3">
      <c r="A3" s="4" t="s">
        <v>27</v>
      </c>
      <c r="B3" s="4" t="s">
        <v>28</v>
      </c>
      <c r="C3" s="6">
        <v>540</v>
      </c>
      <c r="D3" s="7">
        <f>C3/$C$6</f>
        <v>0.23047375160051217</v>
      </c>
      <c r="E3" s="5" t="s">
        <v>29</v>
      </c>
    </row>
    <row r="4" spans="1:5" x14ac:dyDescent="0.3">
      <c r="A4" s="4" t="s">
        <v>30</v>
      </c>
      <c r="B4" s="4" t="s">
        <v>31</v>
      </c>
      <c r="C4" s="6">
        <v>1491</v>
      </c>
      <c r="D4" s="7">
        <f>C4/$C$6</f>
        <v>0.63636363636363635</v>
      </c>
      <c r="E4" s="5" t="s">
        <v>32</v>
      </c>
    </row>
    <row r="5" spans="1:5" x14ac:dyDescent="0.3">
      <c r="A5" s="4" t="s">
        <v>33</v>
      </c>
      <c r="B5" s="4" t="s">
        <v>34</v>
      </c>
      <c r="C5" s="6">
        <v>312</v>
      </c>
      <c r="D5" s="7">
        <f>C5/$C$6</f>
        <v>0.13316261203585147</v>
      </c>
      <c r="E5" s="5" t="s">
        <v>35</v>
      </c>
    </row>
    <row r="6" spans="1:5" ht="27.6" x14ac:dyDescent="0.3">
      <c r="A6" s="8" t="s">
        <v>36</v>
      </c>
      <c r="B6" s="4" t="s">
        <v>37</v>
      </c>
      <c r="C6" s="9">
        <f>SUM(C3:C5)</f>
        <v>2343</v>
      </c>
      <c r="D6" s="10">
        <f>SUM(D3:D5)</f>
        <v>1</v>
      </c>
      <c r="E6" s="5" t="s">
        <v>38</v>
      </c>
    </row>
    <row r="8" spans="1:5" ht="15" customHeight="1" x14ac:dyDescent="0.3">
      <c r="A8" s="2" t="s">
        <v>39</v>
      </c>
      <c r="B8" s="2"/>
      <c r="C8" s="2"/>
      <c r="D8" s="2"/>
      <c r="E8" s="2"/>
    </row>
    <row r="9" spans="1:5" x14ac:dyDescent="0.3">
      <c r="A9" s="3" t="s">
        <v>22</v>
      </c>
      <c r="B9" s="3" t="s">
        <v>40</v>
      </c>
      <c r="C9" s="3" t="s">
        <v>41</v>
      </c>
      <c r="D9" s="3" t="s">
        <v>42</v>
      </c>
      <c r="E9" s="3" t="s">
        <v>43</v>
      </c>
    </row>
    <row r="10" spans="1:5" x14ac:dyDescent="0.3">
      <c r="A10" s="4" t="s">
        <v>27</v>
      </c>
      <c r="B10" s="6">
        <v>4705</v>
      </c>
      <c r="C10" s="6">
        <v>594</v>
      </c>
      <c r="D10" s="6">
        <v>540</v>
      </c>
      <c r="E10" s="5" t="str">
        <f>TEXT(SUM(B10:D10),"#,##0")&amp;" ("&amp;TEXT(SUM(B10:D10)/$E$13,"0.00%")&amp;")"</f>
        <v>5839,0 (024%)</v>
      </c>
    </row>
    <row r="11" spans="1:5" x14ac:dyDescent="0.3">
      <c r="A11" s="4" t="s">
        <v>30</v>
      </c>
      <c r="B11" s="6">
        <v>12404</v>
      </c>
      <c r="C11" s="6">
        <v>1462</v>
      </c>
      <c r="D11" s="6">
        <v>1491</v>
      </c>
      <c r="E11" s="5" t="str">
        <f>TEXT(SUM(B11:D11),"#,##0")&amp;" ("&amp;TEXT(SUM(B11:D11)/$E$13,"0.00%")&amp;")"</f>
        <v>15357,0 (063%)</v>
      </c>
    </row>
    <row r="12" spans="1:5" x14ac:dyDescent="0.3">
      <c r="A12" s="4" t="s">
        <v>33</v>
      </c>
      <c r="B12" s="6">
        <v>2604</v>
      </c>
      <c r="C12" s="6">
        <v>354</v>
      </c>
      <c r="D12" s="6">
        <v>312</v>
      </c>
      <c r="E12" s="5" t="str">
        <f>TEXT(SUM(B12:D12),"#,##0")&amp;" ("&amp;TEXT(SUM(B12:D12)/$E$13,"0.00%")&amp;")"</f>
        <v>3270,0 (013%)</v>
      </c>
    </row>
    <row r="13" spans="1:5" x14ac:dyDescent="0.3">
      <c r="A13" s="8" t="s">
        <v>44</v>
      </c>
      <c r="B13" s="9">
        <f>SUM(B10:B12)</f>
        <v>19713</v>
      </c>
      <c r="C13" s="9">
        <f>SUM(C10:C12)</f>
        <v>2410</v>
      </c>
      <c r="D13" s="9">
        <f>SUM(D10:D12)</f>
        <v>2343</v>
      </c>
      <c r="E13" s="11">
        <f>SUM(B13:D13)</f>
        <v>24466</v>
      </c>
    </row>
  </sheetData>
  <mergeCells count="2">
    <mergeCell ref="A1:E1"/>
    <mergeCell ref="A8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30" customWidth="1"/>
    <col min="3" max="3" width="28" customWidth="1"/>
    <col min="4" max="4" width="75" customWidth="1"/>
    <col min="5" max="5" width="65" customWidth="1"/>
  </cols>
  <sheetData>
    <row r="1" spans="1:5" x14ac:dyDescent="0.3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</row>
    <row r="2" spans="1:5" ht="41.4" x14ac:dyDescent="0.3">
      <c r="A2" s="4">
        <v>1</v>
      </c>
      <c r="B2" s="5" t="s">
        <v>50</v>
      </c>
      <c r="C2" s="5" t="s">
        <v>51</v>
      </c>
      <c r="D2" s="5" t="s">
        <v>52</v>
      </c>
      <c r="E2" s="5" t="s">
        <v>53</v>
      </c>
    </row>
    <row r="3" spans="1:5" ht="27.6" x14ac:dyDescent="0.3">
      <c r="A3" s="4">
        <v>2</v>
      </c>
      <c r="B3" s="5" t="s">
        <v>54</v>
      </c>
      <c r="C3" s="5" t="s">
        <v>55</v>
      </c>
      <c r="D3" s="5" t="s">
        <v>56</v>
      </c>
      <c r="E3" s="5" t="s">
        <v>57</v>
      </c>
    </row>
    <row r="4" spans="1:5" ht="27.6" x14ac:dyDescent="0.3">
      <c r="A4" s="4">
        <v>3</v>
      </c>
      <c r="B4" s="5" t="s">
        <v>58</v>
      </c>
      <c r="C4" s="5" t="s">
        <v>59</v>
      </c>
      <c r="D4" s="5" t="s">
        <v>60</v>
      </c>
      <c r="E4" s="5" t="s">
        <v>61</v>
      </c>
    </row>
    <row r="5" spans="1:5" ht="41.4" x14ac:dyDescent="0.3">
      <c r="A5" s="4">
        <v>4</v>
      </c>
      <c r="B5" s="5" t="s">
        <v>62</v>
      </c>
      <c r="C5" s="5" t="s">
        <v>63</v>
      </c>
      <c r="D5" s="5" t="s">
        <v>64</v>
      </c>
      <c r="E5" s="5" t="s">
        <v>65</v>
      </c>
    </row>
    <row r="6" spans="1:5" ht="69" x14ac:dyDescent="0.3">
      <c r="A6" s="4">
        <v>5</v>
      </c>
      <c r="B6" s="5" t="s">
        <v>66</v>
      </c>
      <c r="C6" s="5" t="s">
        <v>67</v>
      </c>
      <c r="D6" s="5" t="s">
        <v>68</v>
      </c>
      <c r="E6" s="5" t="s">
        <v>69</v>
      </c>
    </row>
    <row r="7" spans="1:5" ht="41.4" x14ac:dyDescent="0.3">
      <c r="A7" s="4">
        <v>6</v>
      </c>
      <c r="B7" s="5" t="s">
        <v>70</v>
      </c>
      <c r="C7" s="5" t="s">
        <v>71</v>
      </c>
      <c r="D7" s="5" t="s">
        <v>72</v>
      </c>
      <c r="E7" s="5" t="s">
        <v>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zoomScaleNormal="100" workbookViewId="0">
      <pane ySplit="1" topLeftCell="A2" activePane="bottomLeft" state="frozen"/>
      <selection pane="bottomLeft" activeCell="B8" sqref="B8:E8"/>
    </sheetView>
  </sheetViews>
  <sheetFormatPr defaultColWidth="8.6640625" defaultRowHeight="14.4" x14ac:dyDescent="0.3"/>
  <cols>
    <col min="1" max="1" width="6" customWidth="1"/>
    <col min="2" max="2" width="26" customWidth="1"/>
    <col min="3" max="3" width="78" customWidth="1"/>
    <col min="4" max="4" width="14" customWidth="1"/>
    <col min="5" max="5" width="80" customWidth="1"/>
    <col min="6" max="6" width="14" customWidth="1"/>
  </cols>
  <sheetData>
    <row r="1" spans="1:6" ht="28.8" x14ac:dyDescent="0.3">
      <c r="A1" s="3" t="s">
        <v>45</v>
      </c>
      <c r="B1" s="3" t="s">
        <v>74</v>
      </c>
      <c r="C1" s="3" t="s">
        <v>75</v>
      </c>
      <c r="D1" s="3" t="s">
        <v>76</v>
      </c>
      <c r="E1" s="3" t="s">
        <v>77</v>
      </c>
      <c r="F1" s="3" t="s">
        <v>78</v>
      </c>
    </row>
    <row r="2" spans="1:6" ht="41.4" x14ac:dyDescent="0.3">
      <c r="A2" s="4">
        <v>1</v>
      </c>
      <c r="B2" s="13" t="s">
        <v>79</v>
      </c>
      <c r="C2" s="5" t="s">
        <v>80</v>
      </c>
      <c r="D2" s="7">
        <f>'5. Hasil Akurasi'!B2</f>
        <v>0.65130174989329914</v>
      </c>
      <c r="E2" s="5" t="s">
        <v>81</v>
      </c>
      <c r="F2" s="14" t="s">
        <v>82</v>
      </c>
    </row>
    <row r="3" spans="1:6" ht="55.2" x14ac:dyDescent="0.3">
      <c r="A3" s="4">
        <v>2</v>
      </c>
      <c r="B3" s="13" t="s">
        <v>83</v>
      </c>
      <c r="C3" s="5" t="s">
        <v>84</v>
      </c>
      <c r="D3" s="7">
        <f>'5. Hasil Akurasi'!B3</f>
        <v>0.81092616303883913</v>
      </c>
      <c r="E3" s="5" t="s">
        <v>85</v>
      </c>
      <c r="F3" s="14">
        <v>42.33</v>
      </c>
    </row>
    <row r="4" spans="1:6" ht="27.6" x14ac:dyDescent="0.3">
      <c r="A4" s="4">
        <v>3</v>
      </c>
      <c r="B4" s="13" t="s">
        <v>86</v>
      </c>
      <c r="C4" s="5" t="s">
        <v>87</v>
      </c>
      <c r="D4" s="7">
        <f>'5. Hasil Akurasi'!B4</f>
        <v>0.80495091762697402</v>
      </c>
      <c r="E4" s="5" t="s">
        <v>88</v>
      </c>
      <c r="F4" s="14">
        <v>26.04</v>
      </c>
    </row>
    <row r="5" spans="1:6" ht="27.6" x14ac:dyDescent="0.3">
      <c r="A5" s="4">
        <v>4</v>
      </c>
      <c r="B5" s="13" t="s">
        <v>89</v>
      </c>
      <c r="C5" s="5" t="s">
        <v>90</v>
      </c>
      <c r="D5" s="7">
        <f>'5. Hasil Akurasi'!B5</f>
        <v>0.80793854033290657</v>
      </c>
      <c r="E5" s="5" t="s">
        <v>91</v>
      </c>
      <c r="F5" s="14">
        <v>51.88</v>
      </c>
    </row>
    <row r="6" spans="1:6" ht="27.6" x14ac:dyDescent="0.3">
      <c r="A6" s="4">
        <v>5</v>
      </c>
      <c r="B6" s="13" t="s">
        <v>92</v>
      </c>
      <c r="C6" s="5" t="s">
        <v>93</v>
      </c>
      <c r="D6" s="7">
        <f>'5. Hasil Akurasi'!B6</f>
        <v>0.80751173708920188</v>
      </c>
      <c r="E6" s="5" t="s">
        <v>94</v>
      </c>
      <c r="F6" s="14">
        <v>36.409999999999997</v>
      </c>
    </row>
    <row r="7" spans="1:6" ht="41.4" x14ac:dyDescent="0.3">
      <c r="A7" s="4">
        <v>6</v>
      </c>
      <c r="B7" s="13" t="s">
        <v>95</v>
      </c>
      <c r="C7" s="5" t="s">
        <v>96</v>
      </c>
      <c r="D7" s="7">
        <f>'5. Hasil Akurasi'!B7</f>
        <v>0.82074263764404609</v>
      </c>
      <c r="E7" s="5" t="s">
        <v>97</v>
      </c>
      <c r="F7" s="14">
        <v>42.51</v>
      </c>
    </row>
    <row r="8" spans="1:6" x14ac:dyDescent="0.3">
      <c r="A8" s="4">
        <v>7</v>
      </c>
      <c r="F8" s="14" t="s">
        <v>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zoomScaleNormal="100" workbookViewId="0">
      <pane ySplit="1" topLeftCell="A2" activePane="bottomLeft" state="frozen"/>
      <selection pane="bottomLeft" activeCell="A9" sqref="A9"/>
    </sheetView>
  </sheetViews>
  <sheetFormatPr defaultColWidth="8.6640625" defaultRowHeight="14.4" x14ac:dyDescent="0.3"/>
  <cols>
    <col min="1" max="1" width="22" customWidth="1"/>
    <col min="2" max="2" width="16" customWidth="1"/>
    <col min="3" max="3" width="22" customWidth="1"/>
    <col min="4" max="4" width="20" customWidth="1"/>
    <col min="5" max="5" width="12" customWidth="1"/>
    <col min="6" max="7" width="16" customWidth="1"/>
    <col min="8" max="8" width="70" customWidth="1"/>
  </cols>
  <sheetData>
    <row r="1" spans="1:8" x14ac:dyDescent="0.3">
      <c r="A1" s="3" t="s">
        <v>98</v>
      </c>
      <c r="B1" s="3" t="s">
        <v>99</v>
      </c>
      <c r="C1" s="3" t="s">
        <v>100</v>
      </c>
      <c r="D1" s="3" t="s">
        <v>101</v>
      </c>
      <c r="E1" s="3" t="s">
        <v>102</v>
      </c>
      <c r="F1" s="3" t="s">
        <v>103</v>
      </c>
      <c r="G1" s="3" t="s">
        <v>104</v>
      </c>
      <c r="H1" s="3" t="s">
        <v>105</v>
      </c>
    </row>
    <row r="2" spans="1:8" ht="27.6" x14ac:dyDescent="0.3">
      <c r="A2" s="8" t="s">
        <v>106</v>
      </c>
      <c r="B2" s="7">
        <f>('7. Confusion Matrix'!B3+'7. Confusion Matrix'!C4+'7. Confusion Matrix'!D5)/SUM('7. Confusion Matrix'!E3:E5)</f>
        <v>0.65130174989329914</v>
      </c>
      <c r="C2" s="4" t="s">
        <v>37</v>
      </c>
      <c r="D2" s="4" t="s">
        <v>37</v>
      </c>
      <c r="E2" s="15">
        <f>AVERAGE('6. Per Kelas'!E3:E5)</f>
        <v>0.58669070097996956</v>
      </c>
      <c r="F2" s="16">
        <f>'6. Per Kelas'!D3</f>
        <v>0.47222222222222221</v>
      </c>
      <c r="G2" s="16">
        <f>'6. Per Kelas'!D5</f>
        <v>0.78205128205128205</v>
      </c>
      <c r="H2" s="5" t="s">
        <v>107</v>
      </c>
    </row>
    <row r="3" spans="1:8" ht="27.6" x14ac:dyDescent="0.3">
      <c r="A3" s="8" t="s">
        <v>108</v>
      </c>
      <c r="B3" s="7">
        <f>('7. Confusion Matrix'!B9+'7. Confusion Matrix'!C10+'7. Confusion Matrix'!D11)/SUM('7. Confusion Matrix'!E9:E11)</f>
        <v>0.81092616303883913</v>
      </c>
      <c r="C3" s="4" t="str">
        <f>A2</f>
        <v>Eksperimen Awal</v>
      </c>
      <c r="D3" s="17">
        <f>(B3-B2)*100</f>
        <v>15.962441314553999</v>
      </c>
      <c r="E3" s="15">
        <f>AVERAGE('6. Per Kelas'!E6:E8)</f>
        <v>0.73519242431558496</v>
      </c>
      <c r="F3" s="16">
        <f>'6. Per Kelas'!D6</f>
        <v>0.58703703703703702</v>
      </c>
      <c r="G3" s="16">
        <f>'6. Per Kelas'!D8</f>
        <v>0.66346153846153844</v>
      </c>
      <c r="H3" s="5" t="s">
        <v>109</v>
      </c>
    </row>
    <row r="4" spans="1:8" x14ac:dyDescent="0.3">
      <c r="A4" s="8" t="s">
        <v>110</v>
      </c>
      <c r="B4" s="7">
        <f>('7. Confusion Matrix'!B15+'7. Confusion Matrix'!C16+'7. Confusion Matrix'!D17)/SUM('7. Confusion Matrix'!E15:E17)</f>
        <v>0.80495091762697402</v>
      </c>
      <c r="C4" s="4" t="str">
        <f>A3</f>
        <v>Baseline</v>
      </c>
      <c r="D4" s="17">
        <f>(B4-B3)*100</f>
        <v>-0.59752454118651155</v>
      </c>
      <c r="E4" s="15">
        <f>AVERAGE('6. Per Kelas'!E9:E11)</f>
        <v>0.72995432181967945</v>
      </c>
      <c r="F4" s="16">
        <f>'6. Per Kelas'!D9</f>
        <v>0.56851851851851853</v>
      </c>
      <c r="G4" s="16">
        <f>'6. Per Kelas'!D11</f>
        <v>0.69551282051282048</v>
      </c>
      <c r="H4" s="5" t="s">
        <v>111</v>
      </c>
    </row>
    <row r="5" spans="1:8" x14ac:dyDescent="0.3">
      <c r="A5" s="8" t="s">
        <v>112</v>
      </c>
      <c r="B5" s="7">
        <f>('7. Confusion Matrix'!B21+'7. Confusion Matrix'!C22+'7. Confusion Matrix'!D23)/SUM('7. Confusion Matrix'!E21:E23)</f>
        <v>0.80793854033290657</v>
      </c>
      <c r="C5" s="4" t="str">
        <f>A4</f>
        <v>EXP 1</v>
      </c>
      <c r="D5" s="17">
        <f>(B5-B4)*100</f>
        <v>0.29876227059325577</v>
      </c>
      <c r="E5" s="15">
        <f>AVERAGE('6. Per Kelas'!E12:E14)</f>
        <v>0.73870887282101239</v>
      </c>
      <c r="F5" s="16">
        <f>'6. Per Kelas'!D12</f>
        <v>0.60555555555555551</v>
      </c>
      <c r="G5" s="16">
        <f>'6. Per Kelas'!D14</f>
        <v>0.71153846153846156</v>
      </c>
      <c r="H5" s="5" t="s">
        <v>113</v>
      </c>
    </row>
    <row r="6" spans="1:8" ht="27.6" x14ac:dyDescent="0.3">
      <c r="A6" s="8" t="s">
        <v>114</v>
      </c>
      <c r="B6" s="7">
        <f>('7. Confusion Matrix'!B27+'7. Confusion Matrix'!C28+'7. Confusion Matrix'!D29)/SUM('7. Confusion Matrix'!E27:E29)</f>
        <v>0.80751173708920188</v>
      </c>
      <c r="C6" s="4" t="str">
        <f>A3</f>
        <v>Baseline</v>
      </c>
      <c r="D6" s="17">
        <f>(B6-B3)*100</f>
        <v>-0.34144259496372564</v>
      </c>
      <c r="E6" s="15">
        <f>AVERAGE('6. Per Kelas'!E15:E17)</f>
        <v>0.72244727075935078</v>
      </c>
      <c r="F6" s="16">
        <f>'6. Per Kelas'!D15</f>
        <v>0.55925925925925923</v>
      </c>
      <c r="G6" s="16">
        <f>'6. Per Kelas'!D17</f>
        <v>0.59615384615384615</v>
      </c>
      <c r="H6" s="5" t="s">
        <v>115</v>
      </c>
    </row>
    <row r="7" spans="1:8" x14ac:dyDescent="0.3">
      <c r="A7" s="8" t="s">
        <v>116</v>
      </c>
      <c r="B7" s="7">
        <f>('7. Confusion Matrix'!B33+'7. Confusion Matrix'!C34+'7. Confusion Matrix'!D35)/SUM('7. Confusion Matrix'!E33:E35)</f>
        <v>0.82074263764404609</v>
      </c>
      <c r="C7" s="4" t="str">
        <f>A3</f>
        <v>Baseline</v>
      </c>
      <c r="D7" s="17">
        <f>(B7-B3)*100</f>
        <v>0.98164746052069596</v>
      </c>
      <c r="E7" s="15">
        <f>AVERAGE('6. Per Kelas'!E18:E20)</f>
        <v>0.74841372605484657</v>
      </c>
      <c r="F7" s="16">
        <f>'6. Per Kelas'!D18</f>
        <v>0.58333333333333337</v>
      </c>
      <c r="G7" s="16">
        <f>'6. Per Kelas'!D20</f>
        <v>0.73397435897435892</v>
      </c>
      <c r="H7" s="5" t="s">
        <v>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zoomScaleNormal="100" workbookViewId="0">
      <pane ySplit="2" topLeftCell="A3" activePane="bottomLeft" state="frozen"/>
      <selection pane="bottomLeft" activeCell="A22" sqref="A22"/>
    </sheetView>
  </sheetViews>
  <sheetFormatPr defaultColWidth="8.6640625" defaultRowHeight="14.4" x14ac:dyDescent="0.3"/>
  <cols>
    <col min="1" max="1" width="18" customWidth="1"/>
    <col min="2" max="2" width="22" customWidth="1"/>
    <col min="3" max="5" width="12" customWidth="1"/>
    <col min="6" max="6" width="10" customWidth="1"/>
    <col min="7" max="7" width="80" customWidth="1"/>
  </cols>
  <sheetData>
    <row r="1" spans="1:7" ht="15" customHeight="1" x14ac:dyDescent="0.3">
      <c r="A1" s="2" t="s">
        <v>118</v>
      </c>
      <c r="B1" s="2"/>
      <c r="C1" s="2"/>
      <c r="D1" s="2"/>
      <c r="E1" s="2"/>
      <c r="F1" s="2"/>
      <c r="G1" s="2"/>
    </row>
    <row r="2" spans="1:7" x14ac:dyDescent="0.3">
      <c r="A2" s="3" t="s">
        <v>119</v>
      </c>
      <c r="B2" s="3" t="s">
        <v>120</v>
      </c>
      <c r="C2" s="3" t="s">
        <v>121</v>
      </c>
      <c r="D2" s="3" t="s">
        <v>122</v>
      </c>
      <c r="E2" s="3" t="s">
        <v>123</v>
      </c>
      <c r="F2" s="3" t="s">
        <v>124</v>
      </c>
      <c r="G2" s="3" t="s">
        <v>125</v>
      </c>
    </row>
    <row r="3" spans="1:7" x14ac:dyDescent="0.3">
      <c r="A3" s="8" t="s">
        <v>106</v>
      </c>
      <c r="B3" s="5" t="s">
        <v>27</v>
      </c>
      <c r="C3" s="16">
        <f>'7. Confusion Matrix'!B3/SUM('7. Confusion Matrix'!B3:B5)</f>
        <v>0.5889145496535797</v>
      </c>
      <c r="D3" s="16">
        <f>'7. Confusion Matrix'!B3/'7. Confusion Matrix'!E3</f>
        <v>0.47222222222222221</v>
      </c>
      <c r="E3" s="16">
        <f t="shared" ref="E3:E20" si="0">IF(C3+D3=0,0,2*C3*D3/(C3+D3))</f>
        <v>0.52415210688591996</v>
      </c>
      <c r="F3" s="6">
        <f>'7. Confusion Matrix'!E3</f>
        <v>540</v>
      </c>
      <c r="G3" s="5" t="s">
        <v>126</v>
      </c>
    </row>
    <row r="4" spans="1:7" x14ac:dyDescent="0.3">
      <c r="A4" s="8" t="s">
        <v>106</v>
      </c>
      <c r="B4" s="5" t="s">
        <v>30</v>
      </c>
      <c r="C4" s="16">
        <f>'7. Confusion Matrix'!C4/SUM('7. Confusion Matrix'!C3:C5)</f>
        <v>0.87702818104184455</v>
      </c>
      <c r="D4" s="16">
        <f>'7. Confusion Matrix'!C4/'7. Confusion Matrix'!E4</f>
        <v>0.68879946344735077</v>
      </c>
      <c r="E4" s="16">
        <f t="shared" si="0"/>
        <v>0.77160030052592032</v>
      </c>
      <c r="F4" s="6">
        <f>'7. Confusion Matrix'!E4</f>
        <v>1491</v>
      </c>
      <c r="G4" s="5" t="s">
        <v>127</v>
      </c>
    </row>
    <row r="5" spans="1:7" x14ac:dyDescent="0.3">
      <c r="A5" s="8" t="s">
        <v>106</v>
      </c>
      <c r="B5" s="5" t="s">
        <v>33</v>
      </c>
      <c r="C5" s="16">
        <f>'7. Confusion Matrix'!D5/SUM('7. Confusion Matrix'!D3:D5)</f>
        <v>0.33017591339648172</v>
      </c>
      <c r="D5" s="16">
        <f>'7. Confusion Matrix'!D5/'7. Confusion Matrix'!E5</f>
        <v>0.78205128205128205</v>
      </c>
      <c r="E5" s="16">
        <f t="shared" si="0"/>
        <v>0.46431969552806845</v>
      </c>
      <c r="F5" s="6">
        <f>'7. Confusion Matrix'!E5</f>
        <v>312</v>
      </c>
      <c r="G5" s="5" t="s">
        <v>128</v>
      </c>
    </row>
    <row r="6" spans="1:7" x14ac:dyDescent="0.3">
      <c r="A6" s="8" t="s">
        <v>108</v>
      </c>
      <c r="B6" s="5" t="s">
        <v>27</v>
      </c>
      <c r="C6" s="16">
        <f>'7. Confusion Matrix'!B9/SUM('7. Confusion Matrix'!B9:B11)</f>
        <v>0.7304147465437788</v>
      </c>
      <c r="D6" s="16">
        <f>'7. Confusion Matrix'!B9/'7. Confusion Matrix'!E9</f>
        <v>0.58703703703703702</v>
      </c>
      <c r="E6" s="16">
        <f t="shared" si="0"/>
        <v>0.65092402464065702</v>
      </c>
      <c r="F6" s="6">
        <f>'7. Confusion Matrix'!E9</f>
        <v>540</v>
      </c>
      <c r="G6" s="5" t="s">
        <v>129</v>
      </c>
    </row>
    <row r="7" spans="1:7" x14ac:dyDescent="0.3">
      <c r="A7" s="8" t="s">
        <v>108</v>
      </c>
      <c r="B7" s="5" t="s">
        <v>30</v>
      </c>
      <c r="C7" s="16">
        <f>'7. Confusion Matrix'!C10/SUM('7. Confusion Matrix'!C9:C11)</f>
        <v>0.8616155291170946</v>
      </c>
      <c r="D7" s="16">
        <f>'7. Confusion Matrix'!C10/'7. Confusion Matrix'!E10</f>
        <v>0.92287055667337359</v>
      </c>
      <c r="E7" s="16">
        <f t="shared" si="0"/>
        <v>0.89119170984455953</v>
      </c>
      <c r="F7" s="6">
        <f>'7. Confusion Matrix'!E10</f>
        <v>1491</v>
      </c>
      <c r="G7" s="5" t="s">
        <v>130</v>
      </c>
    </row>
    <row r="8" spans="1:7" x14ac:dyDescent="0.3">
      <c r="A8" s="8" t="s">
        <v>108</v>
      </c>
      <c r="B8" s="5" t="s">
        <v>33</v>
      </c>
      <c r="C8" s="16">
        <f>'7. Confusion Matrix'!D11/SUM('7. Confusion Matrix'!D9:D11)</f>
        <v>0.66346153846153844</v>
      </c>
      <c r="D8" s="16">
        <f>'7. Confusion Matrix'!D11/'7. Confusion Matrix'!E11</f>
        <v>0.66346153846153844</v>
      </c>
      <c r="E8" s="16">
        <f t="shared" si="0"/>
        <v>0.66346153846153844</v>
      </c>
      <c r="F8" s="6">
        <f>'7. Confusion Matrix'!E11</f>
        <v>312</v>
      </c>
      <c r="G8" s="5" t="s">
        <v>131</v>
      </c>
    </row>
    <row r="9" spans="1:7" x14ac:dyDescent="0.3">
      <c r="A9" s="8" t="s">
        <v>110</v>
      </c>
      <c r="B9" s="5" t="s">
        <v>27</v>
      </c>
      <c r="C9" s="16">
        <f>'7. Confusion Matrix'!B15/SUM('7. Confusion Matrix'!B15:B17)</f>
        <v>0.72065727699530513</v>
      </c>
      <c r="D9" s="16">
        <f>'7. Confusion Matrix'!B15/'7. Confusion Matrix'!E15</f>
        <v>0.56851851851851853</v>
      </c>
      <c r="E9" s="16">
        <f t="shared" si="0"/>
        <v>0.63561076604554867</v>
      </c>
      <c r="F9" s="6">
        <f>'7. Confusion Matrix'!E15</f>
        <v>540</v>
      </c>
      <c r="G9" s="5" t="s">
        <v>132</v>
      </c>
    </row>
    <row r="10" spans="1:7" x14ac:dyDescent="0.3">
      <c r="A10" s="8" t="s">
        <v>110</v>
      </c>
      <c r="B10" s="5" t="s">
        <v>30</v>
      </c>
      <c r="C10" s="16">
        <f>'7. Confusion Matrix'!C16/SUM('7. Confusion Matrix'!C15:C17)</f>
        <v>0.86311787072243351</v>
      </c>
      <c r="D10" s="16">
        <f>'7. Confusion Matrix'!C16/'7. Confusion Matrix'!E16</f>
        <v>0.91348088531187122</v>
      </c>
      <c r="E10" s="16">
        <f t="shared" si="0"/>
        <v>0.88758553274682306</v>
      </c>
      <c r="F10" s="6">
        <f>'7. Confusion Matrix'!E16</f>
        <v>1491</v>
      </c>
      <c r="G10" s="5" t="s">
        <v>133</v>
      </c>
    </row>
    <row r="11" spans="1:7" x14ac:dyDescent="0.3">
      <c r="A11" s="8" t="s">
        <v>110</v>
      </c>
      <c r="B11" s="5" t="s">
        <v>33</v>
      </c>
      <c r="C11" s="16">
        <f>'7. Confusion Matrix'!D17/SUM('7. Confusion Matrix'!D15:D17)</f>
        <v>0.64011799410029502</v>
      </c>
      <c r="D11" s="16">
        <f>'7. Confusion Matrix'!D17/'7. Confusion Matrix'!E17</f>
        <v>0.69551282051282048</v>
      </c>
      <c r="E11" s="16">
        <f t="shared" si="0"/>
        <v>0.66666666666666663</v>
      </c>
      <c r="F11" s="6">
        <f>'7. Confusion Matrix'!E17</f>
        <v>312</v>
      </c>
      <c r="G11" s="5" t="s">
        <v>134</v>
      </c>
    </row>
    <row r="12" spans="1:7" x14ac:dyDescent="0.3">
      <c r="A12" s="8" t="s">
        <v>112</v>
      </c>
      <c r="B12" s="5" t="s">
        <v>27</v>
      </c>
      <c r="C12" s="16">
        <f>'7. Confusion Matrix'!B21/SUM('7. Confusion Matrix'!B21:B23)</f>
        <v>0.70932754880694138</v>
      </c>
      <c r="D12" s="16">
        <f>'7. Confusion Matrix'!B21/'7. Confusion Matrix'!E21</f>
        <v>0.60555555555555551</v>
      </c>
      <c r="E12" s="16">
        <f t="shared" si="0"/>
        <v>0.65334665334665332</v>
      </c>
      <c r="F12" s="6">
        <f>'7. Confusion Matrix'!E21</f>
        <v>540</v>
      </c>
      <c r="G12" s="5" t="s">
        <v>135</v>
      </c>
    </row>
    <row r="13" spans="1:7" x14ac:dyDescent="0.3">
      <c r="A13" s="8" t="s">
        <v>112</v>
      </c>
      <c r="B13" s="5" t="s">
        <v>30</v>
      </c>
      <c r="C13" s="16">
        <f>'7. Confusion Matrix'!C22/SUM('7. Confusion Matrix'!C21:C23)</f>
        <v>0.875</v>
      </c>
      <c r="D13" s="16">
        <f>'7. Confusion Matrix'!C22/'7. Confusion Matrix'!E22</f>
        <v>0.90140845070422537</v>
      </c>
      <c r="E13" s="16">
        <f t="shared" si="0"/>
        <v>0.88800792864222</v>
      </c>
      <c r="F13" s="6">
        <f>'7. Confusion Matrix'!E22</f>
        <v>1491</v>
      </c>
      <c r="G13" s="5" t="s">
        <v>136</v>
      </c>
    </row>
    <row r="14" spans="1:7" x14ac:dyDescent="0.3">
      <c r="A14" s="8" t="s">
        <v>112</v>
      </c>
      <c r="B14" s="5" t="s">
        <v>33</v>
      </c>
      <c r="C14" s="16">
        <f>'7. Confusion Matrix'!D23/SUM('7. Confusion Matrix'!D21:D23)</f>
        <v>0.64161849710982655</v>
      </c>
      <c r="D14" s="16">
        <f>'7. Confusion Matrix'!D23/'7. Confusion Matrix'!E23</f>
        <v>0.71153846153846156</v>
      </c>
      <c r="E14" s="16">
        <f t="shared" si="0"/>
        <v>0.67477203647416417</v>
      </c>
      <c r="F14" s="6">
        <f>'7. Confusion Matrix'!E23</f>
        <v>312</v>
      </c>
      <c r="G14" s="5" t="s">
        <v>137</v>
      </c>
    </row>
    <row r="15" spans="1:7" x14ac:dyDescent="0.3">
      <c r="A15" s="8" t="s">
        <v>114</v>
      </c>
      <c r="B15" s="5" t="s">
        <v>27</v>
      </c>
      <c r="C15" s="16">
        <f>'7. Confusion Matrix'!B27/SUM('7. Confusion Matrix'!B27:B29)</f>
        <v>0.73479318734793186</v>
      </c>
      <c r="D15" s="16">
        <f>'7. Confusion Matrix'!B27/'7. Confusion Matrix'!E27</f>
        <v>0.55925925925925923</v>
      </c>
      <c r="E15" s="16">
        <f t="shared" si="0"/>
        <v>0.63512092534174558</v>
      </c>
      <c r="F15" s="6">
        <f>'7. Confusion Matrix'!E27</f>
        <v>540</v>
      </c>
      <c r="G15" s="5" t="s">
        <v>138</v>
      </c>
    </row>
    <row r="16" spans="1:7" x14ac:dyDescent="0.3">
      <c r="A16" s="8" t="s">
        <v>114</v>
      </c>
      <c r="B16" s="5" t="s">
        <v>30</v>
      </c>
      <c r="C16" s="16">
        <f>'7. Confusion Matrix'!C28/SUM('7. Confusion Matrix'!C27:C29)</f>
        <v>0.84324324324324329</v>
      </c>
      <c r="D16" s="16">
        <f>'7. Confusion Matrix'!C28/'7. Confusion Matrix'!E28</f>
        <v>0.94164989939637822</v>
      </c>
      <c r="E16" s="16">
        <f t="shared" si="0"/>
        <v>0.88973384030418246</v>
      </c>
      <c r="F16" s="6">
        <f>'7. Confusion Matrix'!E28</f>
        <v>1491</v>
      </c>
      <c r="G16" s="5" t="s">
        <v>139</v>
      </c>
    </row>
    <row r="17" spans="1:7" x14ac:dyDescent="0.3">
      <c r="A17" s="8" t="s">
        <v>114</v>
      </c>
      <c r="B17" s="5" t="s">
        <v>33</v>
      </c>
      <c r="C17" s="16">
        <f>'7. Confusion Matrix'!D29/SUM('7. Confusion Matrix'!D27:D29)</f>
        <v>0.6966292134831461</v>
      </c>
      <c r="D17" s="16">
        <f>'7. Confusion Matrix'!D29/'7. Confusion Matrix'!E29</f>
        <v>0.59615384615384615</v>
      </c>
      <c r="E17" s="16">
        <f t="shared" si="0"/>
        <v>0.6424870466321243</v>
      </c>
      <c r="F17" s="6">
        <f>'7. Confusion Matrix'!E29</f>
        <v>312</v>
      </c>
      <c r="G17" s="5" t="s">
        <v>140</v>
      </c>
    </row>
    <row r="18" spans="1:7" x14ac:dyDescent="0.3">
      <c r="A18" s="8" t="s">
        <v>116</v>
      </c>
      <c r="B18" s="5" t="s">
        <v>27</v>
      </c>
      <c r="C18" s="16">
        <f>'7. Confusion Matrix'!B33/SUM('7. Confusion Matrix'!B33:B35)</f>
        <v>0.77017114914425433</v>
      </c>
      <c r="D18" s="16">
        <f>'7. Confusion Matrix'!B33/'7. Confusion Matrix'!E33</f>
        <v>0.58333333333333337</v>
      </c>
      <c r="E18" s="16">
        <f t="shared" si="0"/>
        <v>0.66385669125395153</v>
      </c>
      <c r="F18" s="6">
        <f>'7. Confusion Matrix'!E33</f>
        <v>540</v>
      </c>
      <c r="G18" s="5" t="s">
        <v>141</v>
      </c>
    </row>
    <row r="19" spans="1:7" x14ac:dyDescent="0.3">
      <c r="A19" s="8" t="s">
        <v>116</v>
      </c>
      <c r="B19" s="5" t="s">
        <v>30</v>
      </c>
      <c r="C19" s="16">
        <f>'7. Confusion Matrix'!C34/SUM('7. Confusion Matrix'!C33:C35)</f>
        <v>0.87611181702668361</v>
      </c>
      <c r="D19" s="16">
        <f>'7. Confusion Matrix'!C34/'7. Confusion Matrix'!E34</f>
        <v>0.92488262910798125</v>
      </c>
      <c r="E19" s="16">
        <f t="shared" si="0"/>
        <v>0.8998368678629689</v>
      </c>
      <c r="F19" s="6">
        <f>'7. Confusion Matrix'!E34</f>
        <v>1491</v>
      </c>
      <c r="G19" s="5" t="s">
        <v>142</v>
      </c>
    </row>
    <row r="20" spans="1:7" x14ac:dyDescent="0.3">
      <c r="A20" s="8" t="s">
        <v>116</v>
      </c>
      <c r="B20" s="5" t="s">
        <v>33</v>
      </c>
      <c r="C20" s="16">
        <f>'7. Confusion Matrix'!D35/SUM('7. Confusion Matrix'!D33:D35)</f>
        <v>0.63611111111111107</v>
      </c>
      <c r="D20" s="16">
        <f>'7. Confusion Matrix'!D35/'7. Confusion Matrix'!E35</f>
        <v>0.73397435897435892</v>
      </c>
      <c r="E20" s="16">
        <f t="shared" si="0"/>
        <v>0.68154761904761896</v>
      </c>
      <c r="F20" s="6">
        <f>'7. Confusion Matrix'!E35</f>
        <v>312</v>
      </c>
      <c r="G20" s="5" t="s">
        <v>143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7"/>
  <sheetViews>
    <sheetView zoomScaleNormal="100" workbookViewId="0">
      <selection sqref="A1:E1"/>
    </sheetView>
  </sheetViews>
  <sheetFormatPr defaultColWidth="8.6640625" defaultRowHeight="14.4" x14ac:dyDescent="0.3"/>
  <cols>
    <col min="1" max="1" width="30" customWidth="1"/>
    <col min="2" max="3" width="20" customWidth="1"/>
    <col min="4" max="4" width="22" customWidth="1"/>
    <col min="5" max="5" width="16" customWidth="1"/>
  </cols>
  <sheetData>
    <row r="1" spans="1:5" ht="15" customHeight="1" x14ac:dyDescent="0.3">
      <c r="A1" s="2" t="s">
        <v>144</v>
      </c>
      <c r="B1" s="2"/>
      <c r="C1" s="2"/>
      <c r="D1" s="2"/>
      <c r="E1" s="2"/>
    </row>
    <row r="2" spans="1:5" x14ac:dyDescent="0.3">
      <c r="A2" s="3" t="s">
        <v>145</v>
      </c>
      <c r="B2" s="3" t="s">
        <v>146</v>
      </c>
      <c r="C2" s="3" t="s">
        <v>147</v>
      </c>
      <c r="D2" s="3" t="s">
        <v>148</v>
      </c>
      <c r="E2" s="3" t="s">
        <v>149</v>
      </c>
    </row>
    <row r="3" spans="1:5" x14ac:dyDescent="0.3">
      <c r="A3" s="18" t="s">
        <v>27</v>
      </c>
      <c r="B3" s="19">
        <v>255</v>
      </c>
      <c r="C3" s="6">
        <v>116</v>
      </c>
      <c r="D3" s="6">
        <v>169</v>
      </c>
      <c r="E3" s="6">
        <f>SUM(B3:D3)</f>
        <v>540</v>
      </c>
    </row>
    <row r="4" spans="1:5" x14ac:dyDescent="0.3">
      <c r="A4" s="18" t="s">
        <v>30</v>
      </c>
      <c r="B4" s="6">
        <v>138</v>
      </c>
      <c r="C4" s="19">
        <v>1027</v>
      </c>
      <c r="D4" s="6">
        <v>326</v>
      </c>
      <c r="E4" s="6">
        <f>SUM(B4:D4)</f>
        <v>1491</v>
      </c>
    </row>
    <row r="5" spans="1:5" x14ac:dyDescent="0.3">
      <c r="A5" s="18" t="s">
        <v>33</v>
      </c>
      <c r="B5" s="6">
        <v>40</v>
      </c>
      <c r="C5" s="6">
        <v>28</v>
      </c>
      <c r="D5" s="19">
        <v>244</v>
      </c>
      <c r="E5" s="6">
        <f>SUM(B5:D5)</f>
        <v>312</v>
      </c>
    </row>
    <row r="7" spans="1:5" ht="15" customHeight="1" x14ac:dyDescent="0.3">
      <c r="A7" s="2" t="s">
        <v>150</v>
      </c>
      <c r="B7" s="2"/>
      <c r="C7" s="2"/>
      <c r="D7" s="2"/>
      <c r="E7" s="2"/>
    </row>
    <row r="8" spans="1:5" x14ac:dyDescent="0.3">
      <c r="A8" s="3" t="s">
        <v>145</v>
      </c>
      <c r="B8" s="3" t="s">
        <v>146</v>
      </c>
      <c r="C8" s="3" t="s">
        <v>147</v>
      </c>
      <c r="D8" s="3" t="s">
        <v>148</v>
      </c>
      <c r="E8" s="3" t="s">
        <v>149</v>
      </c>
    </row>
    <row r="9" spans="1:5" x14ac:dyDescent="0.3">
      <c r="A9" s="18" t="s">
        <v>27</v>
      </c>
      <c r="B9" s="19">
        <v>317</v>
      </c>
      <c r="C9" s="6">
        <v>166</v>
      </c>
      <c r="D9" s="6">
        <v>57</v>
      </c>
      <c r="E9" s="6">
        <f>SUM(B9:D9)</f>
        <v>540</v>
      </c>
    </row>
    <row r="10" spans="1:5" x14ac:dyDescent="0.3">
      <c r="A10" s="18" t="s">
        <v>30</v>
      </c>
      <c r="B10" s="6">
        <v>67</v>
      </c>
      <c r="C10" s="19">
        <v>1376</v>
      </c>
      <c r="D10" s="6">
        <v>48</v>
      </c>
      <c r="E10" s="6">
        <f>SUM(B10:D10)</f>
        <v>1491</v>
      </c>
    </row>
    <row r="11" spans="1:5" x14ac:dyDescent="0.3">
      <c r="A11" s="18" t="s">
        <v>33</v>
      </c>
      <c r="B11" s="6">
        <v>50</v>
      </c>
      <c r="C11" s="6">
        <v>55</v>
      </c>
      <c r="D11" s="19">
        <v>207</v>
      </c>
      <c r="E11" s="6">
        <f>SUM(B11:D11)</f>
        <v>312</v>
      </c>
    </row>
    <row r="13" spans="1:5" ht="15" customHeight="1" x14ac:dyDescent="0.3">
      <c r="A13" s="2" t="s">
        <v>151</v>
      </c>
      <c r="B13" s="2"/>
      <c r="C13" s="2"/>
      <c r="D13" s="2"/>
      <c r="E13" s="2"/>
    </row>
    <row r="14" spans="1:5" x14ac:dyDescent="0.3">
      <c r="A14" s="3" t="s">
        <v>145</v>
      </c>
      <c r="B14" s="3" t="s">
        <v>146</v>
      </c>
      <c r="C14" s="3" t="s">
        <v>147</v>
      </c>
      <c r="D14" s="3" t="s">
        <v>148</v>
      </c>
      <c r="E14" s="3" t="s">
        <v>149</v>
      </c>
    </row>
    <row r="15" spans="1:5" x14ac:dyDescent="0.3">
      <c r="A15" s="18" t="s">
        <v>27</v>
      </c>
      <c r="B15" s="19">
        <v>307</v>
      </c>
      <c r="C15" s="6">
        <v>170</v>
      </c>
      <c r="D15" s="6">
        <v>63</v>
      </c>
      <c r="E15" s="6">
        <f>SUM(B15:D15)</f>
        <v>540</v>
      </c>
    </row>
    <row r="16" spans="1:5" x14ac:dyDescent="0.3">
      <c r="A16" s="18" t="s">
        <v>30</v>
      </c>
      <c r="B16" s="6">
        <v>70</v>
      </c>
      <c r="C16" s="19">
        <v>1362</v>
      </c>
      <c r="D16" s="6">
        <v>59</v>
      </c>
      <c r="E16" s="6">
        <f>SUM(B16:D16)</f>
        <v>1491</v>
      </c>
    </row>
    <row r="17" spans="1:5" x14ac:dyDescent="0.3">
      <c r="A17" s="18" t="s">
        <v>33</v>
      </c>
      <c r="B17" s="6">
        <v>49</v>
      </c>
      <c r="C17" s="6">
        <v>46</v>
      </c>
      <c r="D17" s="19">
        <v>217</v>
      </c>
      <c r="E17" s="6">
        <f>SUM(B17:D17)</f>
        <v>312</v>
      </c>
    </row>
    <row r="19" spans="1:5" ht="15" customHeight="1" x14ac:dyDescent="0.3">
      <c r="A19" s="2" t="s">
        <v>152</v>
      </c>
      <c r="B19" s="2"/>
      <c r="C19" s="2"/>
      <c r="D19" s="2"/>
      <c r="E19" s="2"/>
    </row>
    <row r="20" spans="1:5" x14ac:dyDescent="0.3">
      <c r="A20" s="3" t="s">
        <v>145</v>
      </c>
      <c r="B20" s="3" t="s">
        <v>146</v>
      </c>
      <c r="C20" s="3" t="s">
        <v>147</v>
      </c>
      <c r="D20" s="3" t="s">
        <v>148</v>
      </c>
      <c r="E20" s="3" t="s">
        <v>149</v>
      </c>
    </row>
    <row r="21" spans="1:5" x14ac:dyDescent="0.3">
      <c r="A21" s="18" t="s">
        <v>27</v>
      </c>
      <c r="B21" s="19">
        <v>327</v>
      </c>
      <c r="C21" s="6">
        <v>154</v>
      </c>
      <c r="D21" s="6">
        <v>59</v>
      </c>
      <c r="E21" s="6">
        <f>SUM(B21:D21)</f>
        <v>540</v>
      </c>
    </row>
    <row r="22" spans="1:5" x14ac:dyDescent="0.3">
      <c r="A22" s="18" t="s">
        <v>30</v>
      </c>
      <c r="B22" s="6">
        <v>82</v>
      </c>
      <c r="C22" s="19">
        <v>1344</v>
      </c>
      <c r="D22" s="6">
        <v>65</v>
      </c>
      <c r="E22" s="6">
        <f>SUM(B22:D22)</f>
        <v>1491</v>
      </c>
    </row>
    <row r="23" spans="1:5" x14ac:dyDescent="0.3">
      <c r="A23" s="18" t="s">
        <v>33</v>
      </c>
      <c r="B23" s="6">
        <v>52</v>
      </c>
      <c r="C23" s="6">
        <v>38</v>
      </c>
      <c r="D23" s="19">
        <v>222</v>
      </c>
      <c r="E23" s="6">
        <f>SUM(B23:D23)</f>
        <v>312</v>
      </c>
    </row>
    <row r="25" spans="1:5" ht="15" customHeight="1" x14ac:dyDescent="0.3">
      <c r="A25" s="2" t="s">
        <v>153</v>
      </c>
      <c r="B25" s="2"/>
      <c r="C25" s="2"/>
      <c r="D25" s="2"/>
      <c r="E25" s="2"/>
    </row>
    <row r="26" spans="1:5" x14ac:dyDescent="0.3">
      <c r="A26" s="3" t="s">
        <v>145</v>
      </c>
      <c r="B26" s="3" t="s">
        <v>146</v>
      </c>
      <c r="C26" s="3" t="s">
        <v>147</v>
      </c>
      <c r="D26" s="3" t="s">
        <v>148</v>
      </c>
      <c r="E26" s="3" t="s">
        <v>149</v>
      </c>
    </row>
    <row r="27" spans="1:5" x14ac:dyDescent="0.3">
      <c r="A27" s="18" t="s">
        <v>27</v>
      </c>
      <c r="B27" s="19">
        <v>302</v>
      </c>
      <c r="C27" s="6">
        <v>191</v>
      </c>
      <c r="D27" s="6">
        <v>47</v>
      </c>
      <c r="E27" s="6">
        <f>SUM(B27:D27)</f>
        <v>540</v>
      </c>
    </row>
    <row r="28" spans="1:5" x14ac:dyDescent="0.3">
      <c r="A28" s="18" t="s">
        <v>30</v>
      </c>
      <c r="B28" s="6">
        <v>53</v>
      </c>
      <c r="C28" s="19">
        <v>1404</v>
      </c>
      <c r="D28" s="6">
        <v>34</v>
      </c>
      <c r="E28" s="6">
        <f>SUM(B28:D28)</f>
        <v>1491</v>
      </c>
    </row>
    <row r="29" spans="1:5" x14ac:dyDescent="0.3">
      <c r="A29" s="18" t="s">
        <v>33</v>
      </c>
      <c r="B29" s="6">
        <v>56</v>
      </c>
      <c r="C29" s="6">
        <v>70</v>
      </c>
      <c r="D29" s="19">
        <v>186</v>
      </c>
      <c r="E29" s="6">
        <f>SUM(B29:D29)</f>
        <v>312</v>
      </c>
    </row>
    <row r="31" spans="1:5" ht="15" customHeight="1" x14ac:dyDescent="0.3">
      <c r="A31" s="2" t="s">
        <v>154</v>
      </c>
      <c r="B31" s="2"/>
      <c r="C31" s="2"/>
      <c r="D31" s="2"/>
      <c r="E31" s="2"/>
    </row>
    <row r="32" spans="1:5" x14ac:dyDescent="0.3">
      <c r="A32" s="3" t="s">
        <v>145</v>
      </c>
      <c r="B32" s="3" t="s">
        <v>146</v>
      </c>
      <c r="C32" s="3" t="s">
        <v>147</v>
      </c>
      <c r="D32" s="3" t="s">
        <v>148</v>
      </c>
      <c r="E32" s="3" t="s">
        <v>149</v>
      </c>
    </row>
    <row r="33" spans="1:5" x14ac:dyDescent="0.3">
      <c r="A33" s="18" t="s">
        <v>27</v>
      </c>
      <c r="B33" s="19">
        <v>315</v>
      </c>
      <c r="C33" s="6">
        <v>150</v>
      </c>
      <c r="D33" s="6">
        <v>75</v>
      </c>
      <c r="E33" s="6">
        <f>SUM(B33:D33)</f>
        <v>540</v>
      </c>
    </row>
    <row r="34" spans="1:5" x14ac:dyDescent="0.3">
      <c r="A34" s="18" t="s">
        <v>30</v>
      </c>
      <c r="B34" s="6">
        <v>56</v>
      </c>
      <c r="C34" s="19">
        <v>1379</v>
      </c>
      <c r="D34" s="6">
        <v>56</v>
      </c>
      <c r="E34" s="6">
        <f>SUM(B34:D34)</f>
        <v>1491</v>
      </c>
    </row>
    <row r="35" spans="1:5" x14ac:dyDescent="0.3">
      <c r="A35" s="18" t="s">
        <v>33</v>
      </c>
      <c r="B35" s="6">
        <v>38</v>
      </c>
      <c r="C35" s="6">
        <v>45</v>
      </c>
      <c r="D35" s="19">
        <v>229</v>
      </c>
      <c r="E35" s="6">
        <f>SUM(B35:D35)</f>
        <v>312</v>
      </c>
    </row>
    <row r="37" spans="1:5" x14ac:dyDescent="0.3">
      <c r="A37" s="12" t="s">
        <v>155</v>
      </c>
    </row>
  </sheetData>
  <mergeCells count="6">
    <mergeCell ref="A31:E31"/>
    <mergeCell ref="A1:E1"/>
    <mergeCell ref="A7:E7"/>
    <mergeCell ref="A13:E13"/>
    <mergeCell ref="A19:E19"/>
    <mergeCell ref="A25:E2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tabSelected="1" zoomScaleNormal="100" workbookViewId="0">
      <selection activeCell="A21" sqref="A21"/>
    </sheetView>
  </sheetViews>
  <sheetFormatPr defaultColWidth="8.6640625" defaultRowHeight="14.4" x14ac:dyDescent="0.3"/>
  <sheetData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Ringkasan</vt:lpstr>
      <vt:lpstr>2. Dataset</vt:lpstr>
      <vt:lpstr>3. Metodologi</vt:lpstr>
      <vt:lpstr>4. Eksperimen</vt:lpstr>
      <vt:lpstr>5. Hasil Akurasi</vt:lpstr>
      <vt:lpstr>6. Per Kelas</vt:lpstr>
      <vt:lpstr>7. Confusion Matrix</vt:lpstr>
      <vt:lpstr>8. Grafik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Sigit Aringga</cp:lastModifiedBy>
  <cp:revision>2</cp:revision>
  <dcterms:created xsi:type="dcterms:W3CDTF">2026-10-06T17:07:29Z</dcterms:created>
  <dcterms:modified xsi:type="dcterms:W3CDTF">2026-10-07T01:23:20Z</dcterms:modified>
  <dc:language>en-US</dc:language>
</cp:coreProperties>
</file>