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Pipeline" sheetId="2" state="visible" r:id="rId4"/>
    <sheet name="Metodologi" sheetId="3" state="visible" r:id="rId5"/>
    <sheet name="Dataset" sheetId="4" state="visible" r:id="rId6"/>
    <sheet name="Preprocessing" sheetId="5" state="visible" r:id="rId7"/>
    <sheet name="Hasil Preprocessing" sheetId="6" state="visible" r:id="rId8"/>
    <sheet name="Hasil Akurasi" sheetId="7" state="visible" r:id="rId9"/>
    <sheet name="Per Kelas" sheetId="8" state="visible" r:id="rId10"/>
    <sheet name="Confusion Matrix" sheetId="9" state="visible" r:id="rId11"/>
    <sheet name="Log Training" sheetId="10" state="visible" r:id="rId12"/>
    <sheet name="Perbandingan Baseline" sheetId="11" state="visible" r:id="rId13"/>
    <sheet name="Grafik" sheetId="12" state="visible" r:id="rId14"/>
    <sheet name="Analisi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<sst xmlns="http://schemas.openxmlformats.org/spreadsheetml/2006/main" count="716" uniqueCount="487">
  <si>
    <t xml:space="preserve">Laporan Hasil Preprocessing Mengikuti Jurnal: Klasifikasi Kanker Kulit (3 Kelas)</t>
  </si>
  <si>
    <t xml:space="preserve">Spark on YARN | Preprocessing: pad &amp; resize, Dull Razor, active contour snake, isolasi lesi | Augmentasi saat training</t>
  </si>
  <si>
    <t xml:space="preserve">1. Informasi umum</t>
  </si>
  <si>
    <t xml:space="preserve">Komponen</t>
  </si>
  <si>
    <t xml:space="preserve">Keterangan</t>
  </si>
  <si>
    <t xml:space="preserve">Tujuan</t>
  </si>
  <si>
    <t xml:space="preserve">Mengukur kinerja pipeline preprocessing mengikuti jurnal pada 4 skenario worker × partisi, dan membandingkannya dengan baseline.</t>
  </si>
  <si>
    <t xml:space="preserve">Kelas</t>
  </si>
  <si>
    <t xml:space="preserve">Nevus, melanoma, seborrheic keratosis.</t>
  </si>
  <si>
    <t xml:space="preserve">Dataset</t>
  </si>
  <si>
    <t xml:space="preserve">22.051 citra: train 17.656, validasi 2.192, test 2.203.</t>
  </si>
  <si>
    <t xml:space="preserve">Preprocessing</t>
  </si>
  <si>
    <t xml:space="preserve">Pad &amp; resize 224×224, Dull Razor, active contour snake, isolasi lesi (fallback citra utuh bila mask tidak wajar).</t>
  </si>
  <si>
    <t xml:space="preserve">Augmentasi</t>
  </si>
  <si>
    <t xml:space="preserve">Flip, rotasi ±15°, brightness/contrast 0,7–1,3. Hanya pada data train.</t>
  </si>
  <si>
    <t xml:space="preserve">Model</t>
  </si>
  <si>
    <t xml:space="preserve">ResNet-50 + Triplet Attention (AK85).</t>
  </si>
  <si>
    <t xml:space="preserve">Platform</t>
  </si>
  <si>
    <t xml:space="preserve">Kaggle. Hadoop 3.3.6, Spark 3.5.5 (YARN), TensorFlow/Keras, GPU Tesla T4.</t>
  </si>
  <si>
    <t xml:space="preserve">Skenario</t>
  </si>
  <si>
    <t xml:space="preserve">2W2P, 2W8P, 8W2P, 8W8P (W = jumlah worker, P = jumlah partisi).</t>
  </si>
  <si>
    <t xml:space="preserve">Acuan preprocessing</t>
  </si>
  <si>
    <t xml:space="preserve">Behara, Bhero &amp; Agee (2024), LA-CapsNet, Diagnostics 14, 636 (sesuai penulisan di notebook).</t>
  </si>
  <si>
    <t xml:space="preserve">Tanggal eksekusi</t>
  </si>
  <si>
    <t xml:space="preserve">28 September 2026 (menurut timestamp results.csv).</t>
  </si>
  <si>
    <t xml:space="preserve">2. Hasil utama</t>
  </si>
  <si>
    <t xml:space="preserve">Indikator</t>
  </si>
  <si>
    <t xml:space="preserve">Nilai</t>
  </si>
  <si>
    <t xml:space="preserve">Akurasi test tertinggi</t>
  </si>
  <si>
    <t xml:space="preserve">Skenario terbaik pada akurasi.</t>
  </si>
  <si>
    <t xml:space="preserve">Akurasi test terendah</t>
  </si>
  <si>
    <t xml:space="preserve">Skenario terendah pada akurasi.</t>
  </si>
  <si>
    <t xml:space="preserve">Macro F1 tertinggi</t>
  </si>
  <si>
    <t xml:space="preserve">Rata-rata F1 tiga kelas.</t>
  </si>
  <si>
    <t xml:space="preserve">ROC-AUC tertinggi</t>
  </si>
  <si>
    <t xml:space="preserve">Metode one-vs-rest.</t>
  </si>
  <si>
    <t xml:space="preserve">Selisih akurasi vs baseline (rata-rata, poin)</t>
  </si>
  <si>
    <t xml:space="preserve">Semua skenario</t>
  </si>
  <si>
    <t xml:space="preserve">Negatif = lebih rendah dari baseline.</t>
  </si>
  <si>
    <t xml:space="preserve">Preprocessing tercepat (detik)</t>
  </si>
  <si>
    <t xml:space="preserve">Waktu tahap preprocessing terdistribusi.</t>
  </si>
  <si>
    <t xml:space="preserve">Preprocessing terlambat (detik)</t>
  </si>
  <si>
    <t xml:space="preserve">Selisih dengan yang tercepat sekitar 16,4%.</t>
  </si>
  <si>
    <t xml:space="preserve">Rasio waktu vs baseline (rata-rata, kali)</t>
  </si>
  <si>
    <t xml:space="preserve">Di atas 1 = lebih lama dari baseline.</t>
  </si>
  <si>
    <t xml:space="preserve">Citra fallback segmentasi</t>
  </si>
  <si>
    <t xml:space="preserve">Citra dipakai utuh (tanpa isolasi lesi).</t>
  </si>
  <si>
    <t xml:space="preserve">Rata-rata waktu training (detik)</t>
  </si>
  <si>
    <t xml:space="preserve">Training terpusat, hampir sama di semua skenario.</t>
  </si>
  <si>
    <t xml:space="preserve">3. Temuan utama</t>
  </si>
  <si>
    <t xml:space="preserve">No</t>
  </si>
  <si>
    <t xml:space="preserve">Temuan</t>
  </si>
  <si>
    <t xml:space="preserve">Akurasi test 62,46–67,54% dan macro F1 0,570–0,603. Skenario 2W2P paling tinggi.</t>
  </si>
  <si>
    <t xml:space="preserve">Hasil lebih rendah dari baseline: akurasi turun 8,2–11,1 poin, macro F1 turun 0,088–0,111.</t>
  </si>
  <si>
    <t xml:space="preserve">Waktu preprocessing 240,74–280,25 detik, sekitar 2,6–3,1 kali lebih lama dari baseline.</t>
  </si>
  <si>
    <t xml:space="preserve">Snake berhasil mengisolasi lesi pada 83,40% citra. Sisanya 16,60% memakai fallback (citra utuh).</t>
  </si>
  <si>
    <t xml:space="preserve">8W8P paling cepat (240,74 detik) dengan CPU hampir penuh (99,72%). 8W2P paling lambat (280,25 detik).</t>
  </si>
  <si>
    <t xml:space="preserve">Melanoma hanya dikenali 51–57% (baseline 66–71%). Sekitar 29–34% melanoma diprediksi sebagai seborrheic keratosis.</t>
  </si>
  <si>
    <t xml:space="preserve">Val loss masih turun di epoch 10, jadi model belum konvergen dan masih bisa ditingkatkan.</t>
  </si>
  <si>
    <t xml:space="preserve">Alur Kerja (Pipeline) Eksperimen</t>
  </si>
  <si>
    <t xml:space="preserve">Arsitektur hybrid: prapemrosesan medis terdistribusi di Spark on YARN, pelatihan terpusat di GPU driver.</t>
  </si>
  <si>
    <t xml:space="preserve">Data (CSV + citra) → HDFS → Preprocessing PySpark (pad-resize, Dull Razor, snake, isolasi) → Shard .npz → Driver (NumPy) → Training GPU (augmentasi) → Evaluasi → results.csv</t>
  </si>
  <si>
    <t xml:space="preserve">Tahap</t>
  </si>
  <si>
    <t xml:space="preserve">Kegiatan</t>
  </si>
  <si>
    <t xml:space="preserve">Alat / Teknologi</t>
  </si>
  <si>
    <t xml:space="preserve">Keluaran</t>
  </si>
  <si>
    <t xml:space="preserve">Setup lingkungan</t>
  </si>
  <si>
    <t xml:space="preserve">Deteksi Kaggle. Pasang Java 11, Hadoop 3.3.6, Spark 3.5.5, dan SSH. Atur environment variable.</t>
  </si>
  <si>
    <t xml:space="preserve">Bash, Python</t>
  </si>
  <si>
    <t xml:space="preserve">Lingkungan siap</t>
  </si>
  <si>
    <t xml:space="preserve">Konfigurasi HDFS</t>
  </si>
  <si>
    <t xml:space="preserve">HDFS pseudo-distributed, replikasi 1. Format NameNode, jalankan daemon, buat direktori kerja.</t>
  </si>
  <si>
    <t xml:space="preserve">HDFS</t>
  </si>
  <si>
    <t xml:space="preserve">Penyimpanan data siap</t>
  </si>
  <si>
    <t xml:space="preserve">Konfigurasi YARN &amp; Spark</t>
  </si>
  <si>
    <t xml:space="preserve">Executor 1 core, heap 1.152 MB (+384 MB overhead). NodeManager 14.336 MB dan 10 vcore. Mode client.</t>
  </si>
  <si>
    <t xml:space="preserve">YARN, Spark</t>
  </si>
  <si>
    <t xml:space="preserve">Klaster siap</t>
  </si>
  <si>
    <t xml:space="preserve">Ingesti data</t>
  </si>
  <si>
    <t xml:space="preserve">Baca manifest CSV. Seragamkan label. Resize 384×384 (JPEG q85). Unggah ke HDFS per kelas.</t>
  </si>
  <si>
    <t xml:space="preserve">Pandas, PIL, HDFS</t>
  </si>
  <si>
    <t xml:space="preserve">22.051 citra di HDFS</t>
  </si>
  <si>
    <t xml:space="preserve">Audit data</t>
  </si>
  <si>
    <t xml:space="preserve">Hitung jumlah file dan ukuran per kelas. Hitung rasio ketimpangan (4,70).</t>
  </si>
  <si>
    <t xml:space="preserve">HDFS CLI</t>
  </si>
  <si>
    <t xml:space="preserve">Ringkasan kelas</t>
  </si>
  <si>
    <t xml:space="preserve">Alokasi executor</t>
  </si>
  <si>
    <t xml:space="preserve">Tunggu sampai jumlah executor aktif sama dengan target. Catat waktu alokasi YARN.</t>
  </si>
  <si>
    <t xml:space="preserve">PySpark, YARN</t>
  </si>
  <si>
    <t xml:space="preserve">Waktu alokasi tercatat</t>
  </si>
  <si>
    <t xml:space="preserve">Preprocessing terdistribusi</t>
  </si>
  <si>
    <t xml:space="preserve">Bagi daftar path ke N partisi. Tiap partisi: pad &amp; resize 224×224, Dull Razor, active contour snake, isolasi lesi (fallback citra utuh bila mask tidak wajar). Simpan uint8.</t>
  </si>
  <si>
    <t xml:space="preserve">PySpark RDD, OpenCV, scikit-image</t>
  </si>
  <si>
    <t xml:space="preserve">RDD citra terproses</t>
  </si>
  <si>
    <t xml:space="preserve">Sharding</t>
  </si>
  <si>
    <t xml:space="preserve">Tiap partisi menulis shard .npz (64 citra per shard) ke HDFS.</t>
  </si>
  <si>
    <t xml:space="preserve">PySpark, NumPy</t>
  </si>
  <si>
    <t xml:space="preserve">346–350 shard</t>
  </si>
  <si>
    <t xml:space="preserve">Pemuatan ke driver</t>
  </si>
  <si>
    <t xml:space="preserve">Unduh shard. Pisahkan Train, Val, Test sesuai CSV split.</t>
  </si>
  <si>
    <t xml:space="preserve">HDFS, NumPy</t>
  </si>
  <si>
    <t xml:space="preserve">Array data (±3,09 GB)</t>
  </si>
  <si>
    <t xml:space="preserve">Hentikan Spark</t>
  </si>
  <si>
    <t xml:space="preserve">SparkSession dihentikan agar RAM executor dilepas sebelum training.</t>
  </si>
  <si>
    <t xml:space="preserve">Spark</t>
  </si>
  <si>
    <t xml:space="preserve">RAM tersedia</t>
  </si>
  <si>
    <t xml:space="preserve">Pelatihan terpusat</t>
  </si>
  <si>
    <t xml:space="preserve">Latih ResNet-50 + Triplet Attention. 10 epoch, batch 32, class weight seimbang. Augmentasi hanya pada data train.</t>
  </si>
  <si>
    <t xml:space="preserve">TensorFlow/Keras, GPU Tesla T4</t>
  </si>
  <si>
    <t xml:space="preserve">Model terbaik (.keras)</t>
  </si>
  <si>
    <t xml:space="preserve">Evaluasi</t>
  </si>
  <si>
    <t xml:space="preserve">Hitung akurasi, macro F1, ROC-AUC, classification report, dan confusion matrix pada test set.</t>
  </si>
  <si>
    <t xml:space="preserve">scikit-learn</t>
  </si>
  <si>
    <t xml:space="preserve">Metrik test set</t>
  </si>
  <si>
    <t xml:space="preserve">Pencatatan hasil</t>
  </si>
  <si>
    <t xml:space="preserve">Catat waktu alokasi, waktu preprocessing, CPU, RAM, dan metrik ke results.csv.</t>
  </si>
  <si>
    <t xml:space="preserve">CSV</t>
  </si>
  <si>
    <t xml:space="preserve">Log tiap skenario</t>
  </si>
  <si>
    <t xml:space="preserve">Catatan: grafik komparasi 4 skenario (dari results.csv) hanya ada di notebook 8W8P (4-7).</t>
  </si>
  <si>
    <t xml:space="preserve">Metodologi Penelitian</t>
  </si>
  <si>
    <t xml:space="preserve">Preprocessing mengikuti jurnal acuan (LA-CapsNet). Keterangan di bawah diambil dari kode notebook.</t>
  </si>
  <si>
    <t xml:space="preserve">1. Desain eksperimen</t>
  </si>
  <si>
    <t xml:space="preserve">Pendekatan</t>
  </si>
  <si>
    <t xml:space="preserve">Hybrid. Prapemrosesan citra terdistribusi di Spark on YARN. Pelatihan model terpusat di satu GPU pada driver.</t>
  </si>
  <si>
    <t xml:space="preserve">Variabel yang diubah</t>
  </si>
  <si>
    <t xml:space="preserve">Jumlah worker {2, 8} dan jumlah partisi {2, 8}. Total 4 skenario: 2W2P, 2W8P, 8W2P, 8W8P.</t>
  </si>
  <si>
    <t xml:space="preserve">Variabel yang dijaga tetap</t>
  </si>
  <si>
    <t xml:space="preserve">Data, split, model, hyperparameter, jumlah epoch, dan ukuran tiap executor.</t>
  </si>
  <si>
    <t xml:space="preserve">Yang diukur</t>
  </si>
  <si>
    <t xml:space="preserve">Waktu alokasi YARN, waktu preprocessing, throughput, CPU, dan RAM. Serta akurasi, macro F1, ROC-AUC, dan waktu training.</t>
  </si>
  <si>
    <t xml:space="preserve">2. Konfigurasi lingkungan</t>
  </si>
  <si>
    <t xml:space="preserve">Kaggle Notebook (1 mesin).</t>
  </si>
  <si>
    <t xml:space="preserve">CPU / RAM</t>
  </si>
  <si>
    <t xml:space="preserve">4 core fisik, RAM 32.100 MB (±31 GiB).</t>
  </si>
  <si>
    <t xml:space="preserve">GPU</t>
  </si>
  <si>
    <t xml:space="preserve">Tesla T4 (2 unit terdeteksi, 13.756 MB tiap unit).</t>
  </si>
  <si>
    <t xml:space="preserve">Perangkat lunak</t>
  </si>
  <si>
    <t xml:space="preserve">OpenJDK 11, Hadoop 3.3.6, Spark 3.5.5.</t>
  </si>
  <si>
    <t xml:space="preserve">Mode Spark</t>
  </si>
  <si>
    <t xml:space="preserve">YARN, deploy mode client. Driver memory 4 GB. Application Master 512 MB (+384 MB overhead).</t>
  </si>
  <si>
    <t xml:space="preserve">Pseudo-distributed, replikasi 1.</t>
  </si>
  <si>
    <t xml:space="preserve">Executor</t>
  </si>
  <si>
    <t xml:space="preserve">1 core, heap 1.152 MB + overhead 384 MB (kontainer 1.536 MB). Ukuran sama di semua skenario.</t>
  </si>
  <si>
    <t xml:space="preserve">YARN NodeManager</t>
  </si>
  <si>
    <t xml:space="preserve">14.336 MB dan 10 vcore. Resource calculator: DominantResource.</t>
  </si>
  <si>
    <t xml:space="preserve">3. Arsitektur model (ResNet-50 + Triplet Attention, AK85)</t>
  </si>
  <si>
    <t xml:space="preserve">Input</t>
  </si>
  <si>
    <t xml:space="preserve">Citra RGB 224×224, rentang [0, 1].</t>
  </si>
  <si>
    <t xml:space="preserve">Penyesuaian skala</t>
  </si>
  <si>
    <t xml:space="preserve">Kalikan 255, ubah RGB ke BGR, kurangi mean ImageNet (skema caffe).</t>
  </si>
  <si>
    <t xml:space="preserve">Backbone</t>
  </si>
  <si>
    <t xml:space="preserve">ResNet-50 bobot ImageNet, tanpa top layer, dibekukan (trainable = False).</t>
  </si>
  <si>
    <t xml:space="preserve">Triplet Attention</t>
  </si>
  <si>
    <t xml:space="preserve">Dipasang pada keluaran conv4_block6_out (14×14×1024). Tiga cabang: C×H, C×W, H×W.</t>
  </si>
  <si>
    <t xml:space="preserve">Penggabungan fitur</t>
  </si>
  <si>
    <t xml:space="preserve">Average pool (2.048) + max pool (2.048) dari ResNet, ditambah average pool attention (1.024). Total 5.120 dimensi.</t>
  </si>
  <si>
    <t xml:space="preserve">Klasifier</t>
  </si>
  <si>
    <t xml:space="preserve">BatchNorm → Dense 512 (ReLU, L2 0,001) → Dropout 0,5 → Dense 256 (ReLU, L2 0,001) → Dropout 0,4 → Dense 3 (softmax).</t>
  </si>
  <si>
    <t xml:space="preserve">4. Konfigurasi pelatihan</t>
  </si>
  <si>
    <t xml:space="preserve">Optimizer</t>
  </si>
  <si>
    <t xml:space="preserve">Adam, learning rate 0,0001.</t>
  </si>
  <si>
    <t xml:space="preserve">Loss</t>
  </si>
  <si>
    <t xml:space="preserve">Categorical crossentropy.</t>
  </si>
  <si>
    <t xml:space="preserve">Batch size / epoch</t>
  </si>
  <si>
    <t xml:space="preserve">32 / maksimum 10 epoch (552 langkah per epoch).</t>
  </si>
  <si>
    <t xml:space="preserve">Penanganan ketimpangan</t>
  </si>
  <si>
    <t xml:space="preserve">Class weight seimbang: melanoma 1,508; nevus 0,521; seborrheic keratosis 2,400.</t>
  </si>
  <si>
    <t xml:space="preserve">Augmentasi (train saja)</t>
  </si>
  <si>
    <t xml:space="preserve">Flip horizontal dan vertikal acak, rotasi acak −15° sampai +15°, brightness/contrast acak faktor 0,7–1,3. Val dan test tidak diaugmentasi.</t>
  </si>
  <si>
    <t xml:space="preserve">Callback</t>
  </si>
  <si>
    <t xml:space="preserve">ReduceLROnPlateau (val_loss, faktor 0,5, sabar 2). EarlyStopping (val_loss, sabar 5, kembalikan bobot terbaik). ModelCheckpoint (val_loss).</t>
  </si>
  <si>
    <t xml:space="preserve">Pemuatan batch</t>
  </si>
  <si>
    <t xml:space="preserve">Generator BatchSequence: iris array per batch, augmentasi (bila train), lalu bagi 255.</t>
  </si>
  <si>
    <t xml:space="preserve">5. Metrik evaluasi</t>
  </si>
  <si>
    <t xml:space="preserve">Accuracy</t>
  </si>
  <si>
    <t xml:space="preserve">Persentase prediksi yang benar.</t>
  </si>
  <si>
    <t xml:space="preserve">Macro F1</t>
  </si>
  <si>
    <t xml:space="preserve">Rata-rata F1 ketiga kelas dengan bobot sama. Cocok untuk data tidak seimbang.</t>
  </si>
  <si>
    <t xml:space="preserve">ROC-AUC (OvR)</t>
  </si>
  <si>
    <t xml:space="preserve">Kemampuan model membedakan tiap kelas terhadap kelas lain.</t>
  </si>
  <si>
    <t xml:space="preserve">Precision / Recall</t>
  </si>
  <si>
    <t xml:space="preserve">Precision: ketepatan prediksi. Recall: kemampuan menemukan semua kasus kelas tersebut.</t>
  </si>
  <si>
    <t xml:space="preserve">Confusion matrix</t>
  </si>
  <si>
    <t xml:space="preserve">Tabel prediksi benar dan salah per kelas, dalam persen per baris.</t>
  </si>
  <si>
    <t xml:space="preserve">Waktu, throughput, CPU, RAM</t>
  </si>
  <si>
    <t xml:space="preserve">Mengukur efisiensi tahap preprocessing terdistribusi.</t>
  </si>
  <si>
    <t xml:space="preserve">Dataset yang Digunakan</t>
  </si>
  <si>
    <t xml:space="preserve">Manifest master: dataset_irisan_multiclass_final.csv (22.051 citra, 3 kelas).</t>
  </si>
  <si>
    <t xml:space="preserve">1. Distribusi kelas</t>
  </si>
  <si>
    <t xml:space="preserve">Kode Label</t>
  </si>
  <si>
    <t xml:space="preserve">Jumlah Citra</t>
  </si>
  <si>
    <t xml:space="preserve">Persentase</t>
  </si>
  <si>
    <t xml:space="preserve">Ukuran di HDFS (MB)</t>
  </si>
  <si>
    <t xml:space="preserve">Bobot Kelas</t>
  </si>
  <si>
    <t xml:space="preserve">nevus</t>
  </si>
  <si>
    <t xml:space="preserve">NV</t>
  </si>
  <si>
    <t xml:space="preserve">melanoma</t>
  </si>
  <si>
    <t xml:space="preserve">MEL</t>
  </si>
  <si>
    <t xml:space="preserve">seborrheic_keratosis</t>
  </si>
  <si>
    <t xml:space="preserve">BKL</t>
  </si>
  <si>
    <t xml:space="preserve">Total</t>
  </si>
  <si>
    <t xml:space="preserve">Rasio ketimpangan (terbanyak / tersedikit)</t>
  </si>
  <si>
    <t xml:space="preserve">2. Pembagian data (train / val / test)</t>
  </si>
  <si>
    <t xml:space="preserve">Set</t>
  </si>
  <si>
    <t xml:space="preserve">nevus (NV)</t>
  </si>
  <si>
    <t xml:space="preserve">melanoma (MEL)</t>
  </si>
  <si>
    <t xml:space="preserve">seborrheic_keratosis (BKL)</t>
  </si>
  <si>
    <t xml:space="preserve">Train</t>
  </si>
  <si>
    <t xml:space="preserve">Validasi</t>
  </si>
  <si>
    <t xml:space="preserve">Test</t>
  </si>
  <si>
    <t xml:space="preserve">Cek total dengan tabel 1</t>
  </si>
  <si>
    <t xml:space="preserve">3. Catatan data</t>
  </si>
  <si>
    <t xml:space="preserve">Aspek</t>
  </si>
  <si>
    <t xml:space="preserve">Sumber label</t>
  </si>
  <si>
    <t xml:space="preserve">Label medis diseragamkan (harmonisasi) ke tiga kelas: NV, MEL, BKL.</t>
  </si>
  <si>
    <t xml:space="preserve">Pemetaan folder</t>
  </si>
  <si>
    <t xml:space="preserve">NV → nevus, MEL → melanoma, BKL → seborrheic_keratosis.</t>
  </si>
  <si>
    <t xml:space="preserve">Indeks label model</t>
  </si>
  <si>
    <t xml:space="preserve">melanoma = 0, nevus = 1, seborrheic_keratosis = 2 (urutan abjad).</t>
  </si>
  <si>
    <t xml:space="preserve">Folder dataset di Kaggle</t>
  </si>
  <si>
    <t xml:space="preserve">dataset-riset-irisanmelbklnv-1719ham (lokasi file CSV master dan CSV split menurut output notebook).</t>
  </si>
  <si>
    <t xml:space="preserve">Pembagian data</t>
  </si>
  <si>
    <t xml:space="preserve">Memakai file split resmi (train, val, test) dari CSV. Notebook mencetak keterangan bebas kebocoran, tetapi tidak menjalankan pemeriksaan kebocoran.</t>
  </si>
  <si>
    <t xml:space="preserve">Ketimpangan kelas</t>
  </si>
  <si>
    <t xml:space="preserve">Nevus 64,2% data, seborrheic keratosis 13,6%. Rasio 4,70. Ditangani dengan class weight seimbang.</t>
  </si>
  <si>
    <t xml:space="preserve">Penyimpanan</t>
  </si>
  <si>
    <t xml:space="preserve">Citra di-resize 384×384 (JPEG q85) lalu diunggah ke HDFS per folder kelas.</t>
  </si>
  <si>
    <t xml:space="preserve">Tahapan Preprocessing (Mengikuti Jurnal)</t>
  </si>
  <si>
    <t xml:space="preserve">Pad &amp; resize → Dull Razor → active contour snake → isolasi lesi. Parameter diambil dari kode notebook.</t>
  </si>
  <si>
    <t xml:space="preserve">1. Preprocessing terdistribusi (dijalankan di executor Spark)</t>
  </si>
  <si>
    <t xml:space="preserve">Langkah</t>
  </si>
  <si>
    <t xml:space="preserve">Parameter</t>
  </si>
  <si>
    <t xml:space="preserve">Dilakukan di</t>
  </si>
  <si>
    <t xml:space="preserve">Baca citra</t>
  </si>
  <si>
    <t xml:space="preserve">Citra dibaca dari HDFS (PyArrow), didecode dengan OpenCV, lalu diubah ke RGB.</t>
  </si>
  <si>
    <t xml:space="preserve">Executor Spark</t>
  </si>
  <si>
    <t xml:space="preserve">Citra siap diproses.</t>
  </si>
  <si>
    <t xml:space="preserve">Pad &amp; resize</t>
  </si>
  <si>
    <t xml:space="preserve">Reflection padding sampai persegi (sisi = dimensi terpanjang), lalu resize ke 224×224 (INTER_AREA).</t>
  </si>
  <si>
    <t xml:space="preserve">Menjaga rasio aspek lesi. Sesuai input model.</t>
  </si>
  <si>
    <t xml:space="preserve">Dull Razor</t>
  </si>
  <si>
    <t xml:space="preserve">Grayscale, Black-Hat kernel 11×1 dan 1×11 (diambil nilai maksimum), threshold 15, inpainting Telea radius 2.</t>
  </si>
  <si>
    <t xml:space="preserve">Menghapus rambut.</t>
  </si>
  <si>
    <t xml:space="preserve">Persiapan snake</t>
  </si>
  <si>
    <t xml:space="preserve">Gaussian blur (sigma 2) pada grayscale. Kurva awal berbentuk elips 60 titik, dicari otomatis dari kontur Otsu terbesar (luas 5–80% citra, paling dekat ke pusat). Bila tidak ada: elips 35% di tengah.</t>
  </si>
  <si>
    <t xml:space="preserve">Titik awal snake per citra.</t>
  </si>
  <si>
    <t xml:space="preserve">Active contour snake</t>
  </si>
  <si>
    <t xml:space="preserve">skimage.active_contour dengan alpha 0,015, beta 10,0, gamma 0,001, maksimum 15 iterasi. Hasil diisi jadi mask dan dirapikan (morphology close elips 5×5).</t>
  </si>
  <si>
    <t xml:space="preserve">Batas lesi.</t>
  </si>
  <si>
    <t xml:space="preserve">Kontrol kualitas mask</t>
  </si>
  <si>
    <t xml:space="preserve">Mask dipakai bila luasnya 4–75% dari luas citra. Di luar itu, atau bila snake error: fallback ke citra utuh (setelah Dull Razor).</t>
  </si>
  <si>
    <t xml:space="preserve">Mencegah snake collapse atau melebar.</t>
  </si>
  <si>
    <t xml:space="preserve">Isolasi lesi</t>
  </si>
  <si>
    <t xml:space="preserve">Mask diterapkan ke citra (bitwise and). Latar dihitamkan, lesi dipertahankan.</t>
  </si>
  <si>
    <t xml:space="preserve">Model hanya melihat area lesi.</t>
  </si>
  <si>
    <t xml:space="preserve">Simpan uint8</t>
  </si>
  <si>
    <t xml:space="preserve">Nilai piksel 0–255, tipe uint8, bentuk 224×224×3. Label dari nama folder: melanoma 0, nevus 1, seborrheic_keratosis 2.</t>
  </si>
  <si>
    <t xml:space="preserve">Hemat memori (±3,09 GB untuk seluruh data).</t>
  </si>
  <si>
    <t xml:space="preserve">2. Saat pelatihan (di generator batch)</t>
  </si>
  <si>
    <t xml:space="preserve">Flip horizontal (p 0,5), flip vertikal (p 0,5), rotasi acak −15° sampai +15° (border reflect), brightness/contrast acak faktor 0,7–1,3.</t>
  </si>
  <si>
    <t xml:space="preserve">Generator batch</t>
  </si>
  <si>
    <t xml:space="preserve">Menambah variasi data train. Val dan test tidak diaugmentasi.</t>
  </si>
  <si>
    <t xml:space="preserve">Normalisasi [0, 1]</t>
  </si>
  <si>
    <t xml:space="preserve">Nilai piksel dibagi 255.</t>
  </si>
  <si>
    <t xml:space="preserve">Skala input seragam.</t>
  </si>
  <si>
    <t xml:space="preserve">Penyesuaian skala ImageNet</t>
  </si>
  <si>
    <t xml:space="preserve">Kali 255, RGB ke BGR, kurangi mean (103,939; 116,779; 123,68).</t>
  </si>
  <si>
    <t xml:space="preserve">Di dalam model</t>
  </si>
  <si>
    <t xml:space="preserve">Sesuai skema bobot ResNet-50 ImageNet.</t>
  </si>
  <si>
    <t xml:space="preserve">Class weight</t>
  </si>
  <si>
    <t xml:space="preserve">Melanoma 1,508; nevus 0,521; seborrheic_keratosis 2,400.</t>
  </si>
  <si>
    <t xml:space="preserve">Saat training</t>
  </si>
  <si>
    <t xml:space="preserve">Mengurangi bias ke kelas nevus.</t>
  </si>
  <si>
    <t xml:space="preserve">3. Beda dengan jurnal acuan (menurut catatan di kode)</t>
  </si>
  <si>
    <t xml:space="preserve">Ukuran citra</t>
  </si>
  <si>
    <t xml:space="preserve">Jurnal 299×299. Di sini 224×224 agar sesuai input model AK85.</t>
  </si>
  <si>
    <t xml:space="preserve">Normalisasi mean 0 / var 1</t>
  </si>
  <si>
    <t xml:space="preserve">Sengaja tidak dipakai. Model memakai layer ResNetCaffePreprocess yang mengharapkan input [0, 1].</t>
  </si>
  <si>
    <t xml:space="preserve">Random crop dan noise</t>
  </si>
  <si>
    <t xml:space="preserve">Tidak diimplementasikan. Berisiko memotong lesi yang sudah diisolasi.</t>
  </si>
  <si>
    <t xml:space="preserve">Inisialisasi snake dan fallback</t>
  </si>
  <si>
    <t xml:space="preserve">Cara inisialisasi kurva awal dan batas fallback 4–75% bukan dari jurnal. Ditambahkan agar snake stabil.</t>
  </si>
  <si>
    <t xml:space="preserve">Hasil Prapemrosesan Terdistribusi (Spark on YARN)</t>
  </si>
  <si>
    <t xml:space="preserve">Pipeline: pad &amp; resize, Dull Razor, active contour snake, isolasi lesi. 22.051 citra diproses di tiap skenario, tidak ada yang gagal.</t>
  </si>
  <si>
    <t xml:space="preserve">Worker</t>
  </si>
  <si>
    <t xml:space="preserve">Partisi</t>
  </si>
  <si>
    <t xml:space="preserve">Waktu Alokasi YARN (detik)</t>
  </si>
  <si>
    <t xml:space="preserve">Waktu Preprocessing (detik)</t>
  </si>
  <si>
    <t xml:space="preserve">Throughput (citra/detik)</t>
  </si>
  <si>
    <t xml:space="preserve">Speedup vs 2W2P</t>
  </si>
  <si>
    <t xml:space="preserve">CPU Rata-rata (%)</t>
  </si>
  <si>
    <t xml:space="preserve">RAM Rata-rata (MB)</t>
  </si>
  <si>
    <t xml:space="preserve">Sampel Monitor</t>
  </si>
  <si>
    <t xml:space="preserve">Waktu Tulis Shard (detik)</t>
  </si>
  <si>
    <t xml:space="preserve">Speedup Shard vs 2W2P</t>
  </si>
  <si>
    <t xml:space="preserve">Jumlah Shard</t>
  </si>
  <si>
    <t xml:space="preserve">Citra/Partisi Terkecil</t>
  </si>
  <si>
    <t xml:space="preserve">Citra/Partisi Terbesar</t>
  </si>
  <si>
    <t xml:space="preserve">2W2P</t>
  </si>
  <si>
    <t xml:space="preserve">2W8P</t>
  </si>
  <si>
    <t xml:space="preserve">8W2P</t>
  </si>
  <si>
    <t xml:space="preserve">8W8P</t>
  </si>
  <si>
    <t xml:space="preserve">Rata-rata</t>
  </si>
  <si>
    <t xml:space="preserve">Terkecil</t>
  </si>
  <si>
    <t xml:space="preserve">Terbesar</t>
  </si>
  <si>
    <t xml:space="preserve">Selisih waktu preprocessing (terbesar − terkecil) / terkecil</t>
  </si>
  <si>
    <t xml:space="preserve">Hasil segmentasi active contour snake (Terisolasi = citra dengan lesi terisolasi; Fallback = citra dipakai utuh)</t>
  </si>
  <si>
    <t xml:space="preserve">Terisolasi</t>
  </si>
  <si>
    <t xml:space="preserve">Fallback</t>
  </si>
  <si>
    <t xml:space="preserve">% Fallback</t>
  </si>
  <si>
    <t xml:space="preserve">Cek vs Jumlah Citra</t>
  </si>
  <si>
    <t xml:space="preserve">Catatan</t>
  </si>
  <si>
    <t xml:space="preserve">1. W = jumlah worker (executor), P = jumlah partisi. Speedup = waktu 2W2P dibagi waktu skenario tersebut. Nilai di bawah 1 berarti lebih lambat dari 2W2P.</t>
  </si>
  <si>
    <t xml:space="preserve">2. Waktu diukur mulai dari membaca citra di HDFS sampai seluruh RDD selesai diproses (materialisasi RDD). Waktu tulis shard diukur terpisah.</t>
  </si>
  <si>
    <t xml:space="preserve">3. Waktu alokasi YARN adalah lama menunggu semua executor aktif, dicatat di results.csv (stage yarn_container_allocation).</t>
  </si>
  <si>
    <t xml:space="preserve">4. CPU dan RAM diukur untuk seluruh sistem (sampling tiap 0,5 detik), bukan hanya executor.</t>
  </si>
  <si>
    <t xml:space="preserve">5. Mesin hanya punya 4 core fisik. Pada skenario 8 worker, 8 executor berbagi 4 core.</t>
  </si>
  <si>
    <t xml:space="preserve">6. Jumlah citra fallback sama di keempat skenario (3.661). Hasil segmentasi konsisten antarskenario.</t>
  </si>
  <si>
    <t xml:space="preserve">7. Fallback: citra dipakai utuh bila luas mask snake di luar 4–75% dari luas citra, atau snake gagal.</t>
  </si>
  <si>
    <t xml:space="preserve">Hasil Evaluasi Model pada Test Set</t>
  </si>
  <si>
    <t xml:space="preserve">Test set: 2.203 citra. Angka tebal menandai nilai terbaik pada kolomnya.</t>
  </si>
  <si>
    <t xml:space="preserve">Akurasi Test</t>
  </si>
  <si>
    <t xml:space="preserve">Loss Test</t>
  </si>
  <si>
    <t xml:space="preserve">Akurasi Train (Epoch 10)</t>
  </si>
  <si>
    <t xml:space="preserve">Akurasi Val (Epoch 10)</t>
  </si>
  <si>
    <t xml:space="preserve">Selisih Train−Val</t>
  </si>
  <si>
    <t xml:space="preserve">Waktu Training (detik)</t>
  </si>
  <si>
    <t xml:space="preserve">Waktu Training (menit)</t>
  </si>
  <si>
    <t xml:space="preserve">Epoch</t>
  </si>
  <si>
    <t xml:space="preserve">Tertinggi</t>
  </si>
  <si>
    <t xml:space="preserve">Terendah</t>
  </si>
  <si>
    <t xml:space="preserve">Rentang</t>
  </si>
  <si>
    <t xml:space="preserve">1. Setiap skenario dilatih satu kali. Selisih antarskenario belum bisa disimpulkan sebagai perbedaan nyata.</t>
  </si>
  <si>
    <t xml:space="preserve">2. Data, model, dan pengaturan pelatihan sama di semua skenario. Yang berbeda hanya jumlah worker dan partisi saat preprocessing.</t>
  </si>
  <si>
    <t xml:space="preserve">3. Semua skenario berjalan 10 epoch penuh. EarlyStopping tidak aktif karena val_loss masih turun sampai epoch 10.</t>
  </si>
  <si>
    <t xml:space="preserve">4. Akurasi train (epoch 10) dihitung pada data yang diaugmentasi, sedangkan akurasi val pada data asli. Nilai keduanya tidak setara secara langsung.</t>
  </si>
  <si>
    <t xml:space="preserve">5. Loss test mencakup penalti L2 dan bobot kelas, sehingga nilainya lebih besar dari crossentropy biasa.</t>
  </si>
  <si>
    <t xml:space="preserve">Hasil Evaluasi per Kelas</t>
  </si>
  <si>
    <t xml:space="preserve">Sumber: classification report pada test set (2.203 citra).</t>
  </si>
  <si>
    <t xml:space="preserve">Precision</t>
  </si>
  <si>
    <t xml:space="preserve">Recall</t>
  </si>
  <si>
    <t xml:space="preserve">F1-score</t>
  </si>
  <si>
    <t xml:space="preserve">Support</t>
  </si>
  <si>
    <t xml:space="preserve">Rata-rata per kelas (4 skenario)</t>
  </si>
  <si>
    <t xml:space="preserve">Angka tebal = kelas dengan F1 tertinggi.</t>
  </si>
  <si>
    <t xml:space="preserve">Confusion Matrix Ternormalisasi (Persentase per Baris)</t>
  </si>
  <si>
    <t xml:space="preserve">Baris = label asli, kolom = hasil prediksi. Nilai diagonal adalah prediksi yang benar (recall).</t>
  </si>
  <si>
    <t xml:space="preserve">Skenario 2W2P</t>
  </si>
  <si>
    <t xml:space="preserve">Label asli \ Prediksi</t>
  </si>
  <si>
    <t xml:space="preserve">Total baris</t>
  </si>
  <si>
    <t xml:space="preserve">Skenario 2W8P</t>
  </si>
  <si>
    <t xml:space="preserve">Skenario 8W2P</t>
  </si>
  <si>
    <t xml:space="preserve">Skenario 8W8P</t>
  </si>
  <si>
    <t xml:space="preserve">Ringkasan: arah kesalahan citra melanoma</t>
  </si>
  <si>
    <t xml:space="preserve">Melanoma benar dikenali</t>
  </si>
  <si>
    <t xml:space="preserve">Melanoma diprediksi nevus</t>
  </si>
  <si>
    <t xml:space="preserve">Melanoma diprediksi SK</t>
  </si>
  <si>
    <t xml:space="preserve">Catatan: persentase dibaca dari gambar heatmap notebook (dibulatkan 2 desimal), sehingga total baris bisa 100,01%. Diagonal dicetak tebal. SK = seborrheic keratosis.</t>
  </si>
  <si>
    <t xml:space="preserve">Log Pelatihan per Epoch</t>
  </si>
  <si>
    <t xml:space="preserve">Sumber: keluaran model.fit tiap notebook. Akurasi dan loss train dihitung pada data yang sudah diaugmentasi.</t>
  </si>
  <si>
    <t xml:space="preserve">Akurasi Train</t>
  </si>
  <si>
    <t xml:space="preserve">Loss Train</t>
  </si>
  <si>
    <t xml:space="preserve">Akurasi Val</t>
  </si>
  <si>
    <t xml:space="preserve">Loss Val</t>
  </si>
  <si>
    <t xml:space="preserve">Learning Rate</t>
  </si>
  <si>
    <t xml:space="preserve">Perbandingan dengan Baseline</t>
  </si>
  <si>
    <t xml:space="preserve">Baseline = notebook 4-4 (resize dan normalisasi saja, tanpa segmentasi dan augmentasi). Model, data, dan split sama.</t>
  </si>
  <si>
    <t xml:space="preserve">1. Kinerja preprocessing terdistribusi</t>
  </si>
  <si>
    <t xml:space="preserve">Waktu Baseline (detik)</t>
  </si>
  <si>
    <t xml:space="preserve">Waktu Jurnal (detik)</t>
  </si>
  <si>
    <t xml:space="preserve">Rasio Waktu (kali)</t>
  </si>
  <si>
    <t xml:space="preserve">CPU Baseline (%)</t>
  </si>
  <si>
    <t xml:space="preserve">CPU Jurnal (%)</t>
  </si>
  <si>
    <t xml:space="preserve">RAM Baseline (MB)</t>
  </si>
  <si>
    <t xml:space="preserve">RAM Jurnal (MB)</t>
  </si>
  <si>
    <t xml:space="preserve">2. Kinerja model pada test set</t>
  </si>
  <si>
    <t xml:space="preserve">Akurasi Baseline</t>
  </si>
  <si>
    <t xml:space="preserve">Akurasi Jurnal</t>
  </si>
  <si>
    <t xml:space="preserve">Selisih Akurasi (poin)</t>
  </si>
  <si>
    <t xml:space="preserve">Macro F1 Baseline</t>
  </si>
  <si>
    <t xml:space="preserve">Macro F1 Jurnal</t>
  </si>
  <si>
    <t xml:space="preserve">Selisih Macro F1</t>
  </si>
  <si>
    <t xml:space="preserve">ROC-AUC Baseline</t>
  </si>
  <si>
    <t xml:space="preserve">ROC-AUC Jurnal</t>
  </si>
  <si>
    <t xml:space="preserve">Selisih ROC-AUC</t>
  </si>
  <si>
    <t xml:space="preserve">3. Kelas kunci (test set)</t>
  </si>
  <si>
    <t xml:space="preserve">Recall Melanoma Baseline</t>
  </si>
  <si>
    <t xml:space="preserve">Recall Melanoma Jurnal</t>
  </si>
  <si>
    <t xml:space="preserve">F1 Melanoma Baseline</t>
  </si>
  <si>
    <t xml:space="preserve">F1 Melanoma Jurnal</t>
  </si>
  <si>
    <t xml:space="preserve">Precision SK Baseline</t>
  </si>
  <si>
    <t xml:space="preserve">Precision SK Jurnal</t>
  </si>
  <si>
    <t xml:space="preserve">F1 SK Baseline</t>
  </si>
  <si>
    <t xml:space="preserve">F1 SK Jurnal</t>
  </si>
  <si>
    <t xml:space="preserve">4. Loss pada epoch 10</t>
  </si>
  <si>
    <t xml:space="preserve">Loss Train Baseline</t>
  </si>
  <si>
    <t xml:space="preserve">Loss Train Jurnal</t>
  </si>
  <si>
    <t xml:space="preserve">Loss Val Baseline</t>
  </si>
  <si>
    <t xml:space="preserve">Loss Val Jurnal</t>
  </si>
  <si>
    <t xml:space="preserve">1. Nilai baseline diambil dari laporan baseline sebelumnya (notebook 4-4). Nilai jurnal diambil dari sheet lain di file ini.</t>
  </si>
  <si>
    <t xml:space="preserve">2. Selisih akurasi dalam poin persentase. Selisih negatif berarti hasil jurnal lebih rendah dari baseline.</t>
  </si>
  <si>
    <t xml:space="preserve">3. Rasio waktu di atas 1 berarti preprocessing jurnal lebih lama dari baseline.</t>
  </si>
  <si>
    <t xml:space="preserve">4. SK = seborrheic keratosis. Loss train jurnal dihitung pada data yang diaugmentasi.</t>
  </si>
  <si>
    <t xml:space="preserve">5. Perbedaan preprocessing dan augmentasi diubah bersamaan, sehingga pengaruh tiap komponen belum bisa dipisahkan.</t>
  </si>
  <si>
    <t xml:space="preserve">Grafik Hasil Pelatihan</t>
  </si>
  <si>
    <t xml:space="preserve">Data grafik diambil otomatis dari sheet Log Training, Hasil Akurasi, dan Perbandingan Baseline.</t>
  </si>
  <si>
    <t xml:space="preserve">Akurasi validasi per epoch</t>
  </si>
  <si>
    <t xml:space="preserve">Loss validasi per epoch</t>
  </si>
  <si>
    <t xml:space="preserve">Akurasi dan macro F1 pada test set</t>
  </si>
  <si>
    <t xml:space="preserve">Waktu preprocessing: baseline vs jurnal (detik)</t>
  </si>
  <si>
    <t xml:space="preserve">Baseline</t>
  </si>
  <si>
    <t xml:space="preserve">Jurnal</t>
  </si>
  <si>
    <t xml:space="preserve">Analisis, Keterbatasan, dan Saran</t>
  </si>
  <si>
    <t xml:space="preserve">Kalimat bertanda "dugaan" belum diuji langsung pada eksperimen ini.</t>
  </si>
  <si>
    <t xml:space="preserve">1. Temuan utama</t>
  </si>
  <si>
    <t xml:space="preserve">Penjelasan</t>
  </si>
  <si>
    <t xml:space="preserve">Kinerja klasifikasi</t>
  </si>
  <si>
    <t xml:space="preserve">Akurasi test 62,46–67,54%. Macro F1 0,570–0,603. ROC-AUC 0,832–0,842. Terbaik: 2W2P.</t>
  </si>
  <si>
    <t xml:space="preserve">Kemampuan membedakan kelas (ROC-AUC) cukup baik, tetapi akurasi dan F1 masih rendah.</t>
  </si>
  <si>
    <t xml:space="preserve">Dibanding baseline</t>
  </si>
  <si>
    <t xml:space="preserve">Akurasi turun 8,2–11,1 poin. Macro F1 turun 0,088–0,111. Turun di keempat skenario.</t>
  </si>
  <si>
    <t xml:space="preserve">Preprocessing jurnal ini belum meningkatkan hasil pada konfigurasi yang dipakai.</t>
  </si>
  <si>
    <t xml:space="preserve">Waktu preprocessing</t>
  </si>
  <si>
    <t xml:space="preserve">240,74–280,25 detik, sekitar 2,6–3,1 kali lebih lama dari baseline (89–94 detik).</t>
  </si>
  <si>
    <t xml:space="preserve">Dugaan: tambahan Dull Razor dan snake membuat proses lebih berat. Waktu per tahap tidak diukur.</t>
  </si>
  <si>
    <t xml:space="preserve">Pengaruh worker dan partisi</t>
  </si>
  <si>
    <t xml:space="preserve">8W8P tercepat (240,74 detik, speedup 1,10×). 8W2P paling lambat (280,25 detik). 2W8P hampir sama dengan 2W2P.</t>
  </si>
  <si>
    <t xml:space="preserve">Pola belum tegas. Tiap skenario dijalankan sekali.</t>
  </si>
  <si>
    <t xml:space="preserve">Penggunaan CPU dan RAM</t>
  </si>
  <si>
    <t xml:space="preserve">CPU 8W8P 99,72%, skenario lain sekitar 63%. RAM 6,1–6,4 GB (2 worker) dan 8,3–9,6 GB (8 worker).</t>
  </si>
  <si>
    <t xml:space="preserve">CPU hampir penuh pada 8W8P. Dugaan: 8 executor berebut 4 core.</t>
  </si>
  <si>
    <t xml:space="preserve">Waktu alokasi YARN</t>
  </si>
  <si>
    <t xml:space="preserve">0,01 detik untuk 2 worker. 6,06–6,13 detik untuk 8 worker.</t>
  </si>
  <si>
    <t xml:space="preserve">Alokasi 8 executor butuh waktu lebih lama, tetapi kecil dibanding waktu preprocessing.</t>
  </si>
  <si>
    <t xml:space="preserve">Hasil segmentasi</t>
  </si>
  <si>
    <t xml:space="preserve">18.390 citra (83,40%) terisolasi kontur. 3.661 citra (16,60%) memakai fallback (citra utuh).</t>
  </si>
  <si>
    <t xml:space="preserve">Angka sama di keempat skenario, jadi hasil segmentasi konsisten. Kualitas mask belum diperiksa secara visual.</t>
  </si>
  <si>
    <t xml:space="preserve">Kesulitan per kelas</t>
  </si>
  <si>
    <t xml:space="preserve">F1 nevus 0,74–0,79. Melanoma 0,53–0,56. Seborrheic keratosis (SK) 0,42–0,45.</t>
  </si>
  <si>
    <t xml:space="preserve">SK punya precision rendah (0,30–0,33) tetapi recall tinggi (0,70–0,73). Model sering memprediksi SK. Dugaan: terkait bobot kelas SK yang besar (2,40).</t>
  </si>
  <si>
    <t xml:space="preserve">Risiko pada melanoma</t>
  </si>
  <si>
    <t xml:space="preserve">Recall melanoma 0,51–0,57 (baseline 0,66–0,71). Sekitar 29–34% melanoma diprediksi sebagai SK.</t>
  </si>
  <si>
    <t xml:space="preserve">Melanoma paling berbahaya jika terlewat. Ini perlu jadi fokus perbaikan.</t>
  </si>
  <si>
    <t xml:space="preserve">Konvergensi</t>
  </si>
  <si>
    <t xml:space="preserve">Val loss masih turun sampai epoch 10. EarlyStopping tidak aktif. Learning rate tetap 0,0001.</t>
  </si>
  <si>
    <t xml:space="preserve">Loss train epoch 10 (1,67–1,70) lebih tinggi dari baseline (1,39–1,42). Model belum konvergen. Dugaan: augmentasi memperlambat konvergensi.</t>
  </si>
  <si>
    <t xml:space="preserve">Waktu training</t>
  </si>
  <si>
    <t xml:space="preserve">615,77–620,11 detik di semua skenario.</t>
  </si>
  <si>
    <t xml:space="preserve">Sama dengan baseline (623–630 detik). Augmentasi tidak membuat training lebih lama.</t>
  </si>
  <si>
    <t xml:space="preserve">Selisih antarskenario</t>
  </si>
  <si>
    <t xml:space="preserve">Akurasi turun berurutan: 2W2P, 2W8P, 8W2P, 8W8P (selisih 5,08 poin).</t>
  </si>
  <si>
    <t xml:space="preserve">Jumlah hasil segmentasi identik antarskenario (fallback 3.661), jadi selisih ini kemungkinan variasi acak training (dugaan), bukan efek jumlah worker.</t>
  </si>
  <si>
    <t xml:space="preserve">2. Catatan pada notebook</t>
  </si>
  <si>
    <t xml:space="preserve">Sel visualisasi preprocessing</t>
  </si>
  <si>
    <t xml:space="preserve">Sel visualisasi (Fase 5) masih memakai segmentasi lama (Otsu kanal L*, multi-komponen), bukan snake. Gambarnya tidak menunjukkan hasil snake yang dipakai pipeline.</t>
  </si>
  <si>
    <t xml:space="preserve">Teks kesimpulan</t>
  </si>
  <si>
    <t xml:space="preserve">Kesimpulan di akhir notebook sama dengan versi baseline dan belum diperbarui. Teksnya tidak sejalan dengan hasil (akurasi turun).</t>
  </si>
  <si>
    <t xml:space="preserve">Kemiripan dengan jurnal</t>
  </si>
  <si>
    <t xml:space="preserve">Pipeline tidak identik dengan jurnal: ukuran 224 (bukan 299), tanpa normalisasi mean 0 / var 1, tanpa random crop dan noise.</t>
  </si>
  <si>
    <t xml:space="preserve">Pemeriksaan kebocoran</t>
  </si>
  <si>
    <t xml:space="preserve">Notebook mencetak keterangan bebas kebocoran, tetapi tidak ada kode yang memeriksanya.</t>
  </si>
  <si>
    <t xml:space="preserve">3. Keterbatasan</t>
  </si>
  <si>
    <t xml:space="preserve">Jumlah percobaan</t>
  </si>
  <si>
    <t xml:space="preserve">Tiap skenario dijalankan sekali. Belum ada uji pengulangan atau uji signifikansi.</t>
  </si>
  <si>
    <t xml:space="preserve">Pengaruh tiap komponen</t>
  </si>
  <si>
    <t xml:space="preserve">Segmentasi, Dull Razor, dan augmentasi diubah bersamaan. Pengaruh masing-masing belum bisa dipisahkan.</t>
  </si>
  <si>
    <t xml:space="preserve">Sumber daya</t>
  </si>
  <si>
    <t xml:space="preserve">Hanya 4 core fisik untuk 8 executor. Hasil speedup dibatasi rebutan CPU.</t>
  </si>
  <si>
    <t xml:space="preserve">Lingkungan</t>
  </si>
  <si>
    <t xml:space="preserve">Semua komponen berjalan di satu mesin (pseudo-distributed), bukan klaster multi-node.</t>
  </si>
  <si>
    <t xml:space="preserve">Pengukuran</t>
  </si>
  <si>
    <t xml:space="preserve">CPU dan RAM diukur untuk seluruh sistem, bukan per executor. Waktu tidak diukur per tahap preprocessing.</t>
  </si>
  <si>
    <t xml:space="preserve">Training</t>
  </si>
  <si>
    <t xml:space="preserve">Pelatihan tidak terdistribusi, jadi waktu training tidak menunjukkan efek jumlah worker.</t>
  </si>
  <si>
    <t xml:space="preserve">4. Saran tindak lanjut</t>
  </si>
  <si>
    <t xml:space="preserve">Uji tiap komponen</t>
  </si>
  <si>
    <t xml:space="preserve">Jalankan terpisah: segmentasi saja, augmentasi saja, lalu gabungan. Bandingkan dengan baseline.</t>
  </si>
  <si>
    <t xml:space="preserve">Periksa hasil snake</t>
  </si>
  <si>
    <t xml:space="preserve">Buat visualisasi memakai fungsi snake yang sebenarnya. Periksa 16,60% citra fallback dan kualitas mask.</t>
  </si>
  <si>
    <t xml:space="preserve">Tambah epoch</t>
  </si>
  <si>
    <t xml:space="preserve">Val loss masih turun di epoch 10. Naikkan epoch atau atur learning rate, lalu bandingkan.</t>
  </si>
  <si>
    <t xml:space="preserve">Fokus pada melanoma</t>
  </si>
  <si>
    <t xml:space="preserve">Cari cara menaikkan recall melanoma (misalnya atur bobot kelas atau threshold).</t>
  </si>
  <si>
    <t xml:space="preserve">Ulangi percobaan</t>
  </si>
  <si>
    <t xml:space="preserve">Jalankan tiap skenario minimal 3 kali. Laporkan rata-rata dan simpangan baku.</t>
  </si>
  <si>
    <t xml:space="preserve">Ukur waktu per tahap</t>
  </si>
  <si>
    <t xml:space="preserve">Catat waktu Dull Razor dan snake terpisah untuk mengetahui sumber tambahan waktu.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</si>
</sst>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0.0000"/>
    <numFmt numFmtId="167" formatCode="0.00"/>
    <numFmt numFmtId="168" formatCode="#,##0"/>
    <numFmt numFmtId="169" formatCode="0.0%"/>
    <numFmt numFmtId="170" formatCode="0.0"/>
    <numFmt numFmtId="171" formatCode="#,##0.00"/>
    <numFmt numFmtId="172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0"/>
        <b val="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8FAADC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Akurasi Validasi per Epoch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Grafik!C5</c:f>
              <c:strCache>
                <c:ptCount val="1"/>
                <c:pt idx="0">
                  <c:v>2W2P</c:v>
                </c:pt>
              </c:strCache>
            </c:strRef>
          </c:tx>
          <c:spPr>
            <a:solidFill>
              <a:srgbClr val="2f5597"/>
            </a:solidFill>
            <a:ln w="21960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Grafik!$B$6:$B$15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Grafik!$C$6:$C$15</c:f>
              <c:numCache>
                <c:formatCode>0.0000</c:formatCode>
                <c:ptCount val="10"/>
                <c:pt idx="0">
                  <c:v>0.6099</c:v>
                </c:pt>
                <c:pt idx="1">
                  <c:v>0.5958</c:v>
                </c:pt>
                <c:pt idx="2">
                  <c:v>0.656</c:v>
                </c:pt>
                <c:pt idx="3">
                  <c:v>0.6318</c:v>
                </c:pt>
                <c:pt idx="4">
                  <c:v>0.6373</c:v>
                </c:pt>
                <c:pt idx="5">
                  <c:v>0.6451</c:v>
                </c:pt>
                <c:pt idx="6">
                  <c:v>0.6597</c:v>
                </c:pt>
                <c:pt idx="7">
                  <c:v>0.6651</c:v>
                </c:pt>
                <c:pt idx="8">
                  <c:v>0.6505</c:v>
                </c:pt>
                <c:pt idx="9">
                  <c:v>0.6743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Grafik!D5</c:f>
              <c:strCache>
                <c:ptCount val="1"/>
                <c:pt idx="0">
                  <c:v>2W8P</c:v>
                </c:pt>
              </c:strCache>
            </c:strRef>
          </c:tx>
          <c:spPr>
            <a:solidFill>
              <a:srgbClr val="8faadc"/>
            </a:solidFill>
            <a:ln w="21960">
              <a:solidFill>
                <a:srgbClr val="8faadc"/>
              </a:solidFill>
              <a:round/>
            </a:ln>
          </c:spPr>
          <c:marker>
            <c:symbol val="circle"/>
            <c:size val="5"/>
            <c:spPr>
              <a:solidFill>
                <a:srgbClr val="8faad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Grafik!$B$6:$B$15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Grafik!$D$6:$D$15</c:f>
              <c:numCache>
                <c:formatCode>0.0000</c:formatCode>
                <c:ptCount val="10"/>
                <c:pt idx="0">
                  <c:v>0.5575</c:v>
                </c:pt>
                <c:pt idx="1">
                  <c:v>0.6172</c:v>
                </c:pt>
                <c:pt idx="2">
                  <c:v>0.6072</c:v>
                </c:pt>
                <c:pt idx="3">
                  <c:v>0.6045</c:v>
                </c:pt>
                <c:pt idx="4">
                  <c:v>0.6277</c:v>
                </c:pt>
                <c:pt idx="5">
                  <c:v>0.6382</c:v>
                </c:pt>
                <c:pt idx="6">
                  <c:v>0.6255</c:v>
                </c:pt>
                <c:pt idx="7">
                  <c:v>0.6168</c:v>
                </c:pt>
                <c:pt idx="8">
                  <c:v>0.6227</c:v>
                </c:pt>
                <c:pt idx="9">
                  <c:v>0.646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Grafik!E5</c:f>
              <c:strCache>
                <c:ptCount val="1"/>
                <c:pt idx="0">
                  <c:v>8W2P</c:v>
                </c:pt>
              </c:strCache>
            </c:strRef>
          </c:tx>
          <c:spPr>
            <a:solidFill>
              <a:srgbClr val="7f7f7f"/>
            </a:solidFill>
            <a:ln w="21960">
              <a:solidFill>
                <a:srgbClr val="7f7f7f"/>
              </a:solidFill>
              <a:round/>
            </a:ln>
          </c:spPr>
          <c:marker>
            <c:symbol val="circle"/>
            <c:size val="5"/>
            <c:spPr>
              <a:solidFill>
                <a:srgbClr val="7f7f7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Grafik!$B$6:$B$15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Grafik!$E$6:$E$15</c:f>
              <c:numCache>
                <c:formatCode>0.0000</c:formatCode>
                <c:ptCount val="10"/>
                <c:pt idx="0">
                  <c:v>0.6223</c:v>
                </c:pt>
                <c:pt idx="1">
                  <c:v>0.615</c:v>
                </c:pt>
                <c:pt idx="2">
                  <c:v>0.6396</c:v>
                </c:pt>
                <c:pt idx="3">
                  <c:v>0.6515</c:v>
                </c:pt>
                <c:pt idx="4">
                  <c:v>0.6556</c:v>
                </c:pt>
                <c:pt idx="5">
                  <c:v>0.6592</c:v>
                </c:pt>
                <c:pt idx="6">
                  <c:v>0.63</c:v>
                </c:pt>
                <c:pt idx="7">
                  <c:v>0.6359</c:v>
                </c:pt>
                <c:pt idx="8">
                  <c:v>0.6469</c:v>
                </c:pt>
                <c:pt idx="9">
                  <c:v>0.6505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Grafik!F5</c:f>
              <c:strCache>
                <c:ptCount val="1"/>
                <c:pt idx="0">
                  <c:v>8W8P</c:v>
                </c:pt>
              </c:strCache>
            </c:strRef>
          </c:tx>
          <c:spPr>
            <a:solidFill>
              <a:srgbClr val="c55a11"/>
            </a:solidFill>
            <a:ln w="21960">
              <a:solidFill>
                <a:srgbClr val="c55a11"/>
              </a:solidFill>
              <a:round/>
            </a:ln>
          </c:spPr>
          <c:marker>
            <c:symbol val="circle"/>
            <c:size val="5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Grafik!$B$6:$B$15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Grafik!$F$6:$F$15</c:f>
              <c:numCache>
                <c:formatCode>0.0000</c:formatCode>
                <c:ptCount val="10"/>
                <c:pt idx="0">
                  <c:v>0.6437</c:v>
                </c:pt>
                <c:pt idx="1">
                  <c:v>0.609</c:v>
                </c:pt>
                <c:pt idx="2">
                  <c:v>0.635</c:v>
                </c:pt>
                <c:pt idx="3">
                  <c:v>0.6036</c:v>
                </c:pt>
                <c:pt idx="4">
                  <c:v>0.6227</c:v>
                </c:pt>
                <c:pt idx="5">
                  <c:v>0.6259</c:v>
                </c:pt>
                <c:pt idx="6">
                  <c:v>0.6332</c:v>
                </c:pt>
                <c:pt idx="7">
                  <c:v>0.6195</c:v>
                </c:pt>
                <c:pt idx="8">
                  <c:v>0.6227</c:v>
                </c:pt>
                <c:pt idx="9">
                  <c:v>0.6168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748462"/>
        <c:axId val="99958731"/>
      </c:lineChart>
      <c:catAx>
        <c:axId val="497484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58731"/>
        <c:crosses val="autoZero"/>
        <c:auto val="1"/>
        <c:lblAlgn val="ctr"/>
        <c:lblOffset val="100"/>
        <c:noMultiLvlLbl val="0"/>
      </c:catAx>
      <c:valAx>
        <c:axId val="99958731"/>
        <c:scaling>
          <c:orientation val="minMax"/>
          <c:max val="0.7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Akurasi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484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Loss Validasi per Epoch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Grafik!C19</c:f>
              <c:strCache>
                <c:ptCount val="1"/>
                <c:pt idx="0">
                  <c:v>2W2P</c:v>
                </c:pt>
              </c:strCache>
            </c:strRef>
          </c:tx>
          <c:spPr>
            <a:solidFill>
              <a:srgbClr val="2f5597"/>
            </a:solidFill>
            <a:ln w="21960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Grafik!$B$20:$B$29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Grafik!$C$20:$C$29</c:f>
              <c:numCache>
                <c:formatCode>0.0000</c:formatCode>
                <c:ptCount val="10"/>
                <c:pt idx="0">
                  <c:v>2.0732</c:v>
                </c:pt>
                <c:pt idx="1">
                  <c:v>2.0694</c:v>
                </c:pt>
                <c:pt idx="2">
                  <c:v>1.9641</c:v>
                </c:pt>
                <c:pt idx="3">
                  <c:v>1.9632</c:v>
                </c:pt>
                <c:pt idx="4">
                  <c:v>1.9131</c:v>
                </c:pt>
                <c:pt idx="5">
                  <c:v>1.8659</c:v>
                </c:pt>
                <c:pt idx="6">
                  <c:v>1.7959</c:v>
                </c:pt>
                <c:pt idx="7">
                  <c:v>1.7495</c:v>
                </c:pt>
                <c:pt idx="8">
                  <c:v>1.7244</c:v>
                </c:pt>
                <c:pt idx="9">
                  <c:v>1.6346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Grafik!D19</c:f>
              <c:strCache>
                <c:ptCount val="1"/>
                <c:pt idx="0">
                  <c:v>2W8P</c:v>
                </c:pt>
              </c:strCache>
            </c:strRef>
          </c:tx>
          <c:spPr>
            <a:solidFill>
              <a:srgbClr val="8faadc"/>
            </a:solidFill>
            <a:ln w="21960">
              <a:solidFill>
                <a:srgbClr val="8faadc"/>
              </a:solidFill>
              <a:round/>
            </a:ln>
          </c:spPr>
          <c:marker>
            <c:symbol val="circle"/>
            <c:size val="5"/>
            <c:spPr>
              <a:solidFill>
                <a:srgbClr val="8faad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Grafik!$B$20:$B$29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Grafik!$D$20:$D$29</c:f>
              <c:numCache>
                <c:formatCode>0.0000</c:formatCode>
                <c:ptCount val="10"/>
                <c:pt idx="0">
                  <c:v>2.163</c:v>
                </c:pt>
                <c:pt idx="1">
                  <c:v>2.0303</c:v>
                </c:pt>
                <c:pt idx="2">
                  <c:v>1.9886</c:v>
                </c:pt>
                <c:pt idx="3">
                  <c:v>1.9739</c:v>
                </c:pt>
                <c:pt idx="4">
                  <c:v>1.8978</c:v>
                </c:pt>
                <c:pt idx="5">
                  <c:v>1.8554</c:v>
                </c:pt>
                <c:pt idx="6">
                  <c:v>1.8219</c:v>
                </c:pt>
                <c:pt idx="7">
                  <c:v>1.7819</c:v>
                </c:pt>
                <c:pt idx="8">
                  <c:v>1.7155</c:v>
                </c:pt>
                <c:pt idx="9">
                  <c:v>1.6333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Grafik!E19</c:f>
              <c:strCache>
                <c:ptCount val="1"/>
                <c:pt idx="0">
                  <c:v>8W2P</c:v>
                </c:pt>
              </c:strCache>
            </c:strRef>
          </c:tx>
          <c:spPr>
            <a:solidFill>
              <a:srgbClr val="7f7f7f"/>
            </a:solidFill>
            <a:ln w="21960">
              <a:solidFill>
                <a:srgbClr val="7f7f7f"/>
              </a:solidFill>
              <a:round/>
            </a:ln>
          </c:spPr>
          <c:marker>
            <c:symbol val="circle"/>
            <c:size val="5"/>
            <c:spPr>
              <a:solidFill>
                <a:srgbClr val="7f7f7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Grafik!$B$20:$B$29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Grafik!$E$20:$E$29</c:f>
              <c:numCache>
                <c:formatCode>0.0000</c:formatCode>
                <c:ptCount val="10"/>
                <c:pt idx="0">
                  <c:v>2.0817</c:v>
                </c:pt>
                <c:pt idx="1">
                  <c:v>2.0393</c:v>
                </c:pt>
                <c:pt idx="2">
                  <c:v>1.9863</c:v>
                </c:pt>
                <c:pt idx="3">
                  <c:v>1.9398</c:v>
                </c:pt>
                <c:pt idx="4">
                  <c:v>1.8867</c:v>
                </c:pt>
                <c:pt idx="5">
                  <c:v>1.8579</c:v>
                </c:pt>
                <c:pt idx="6">
                  <c:v>1.807</c:v>
                </c:pt>
                <c:pt idx="7">
                  <c:v>1.7541</c:v>
                </c:pt>
                <c:pt idx="8">
                  <c:v>1.6835</c:v>
                </c:pt>
                <c:pt idx="9">
                  <c:v>1.6506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Grafik!F19</c:f>
              <c:strCache>
                <c:ptCount val="1"/>
                <c:pt idx="0">
                  <c:v>8W8P</c:v>
                </c:pt>
              </c:strCache>
            </c:strRef>
          </c:tx>
          <c:spPr>
            <a:solidFill>
              <a:srgbClr val="c55a11"/>
            </a:solidFill>
            <a:ln w="21960">
              <a:solidFill>
                <a:srgbClr val="c55a11"/>
              </a:solidFill>
              <a:round/>
            </a:ln>
          </c:spPr>
          <c:marker>
            <c:symbol val="circle"/>
            <c:size val="5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Grafik!$B$20:$B$29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Grafik!$F$20:$F$29</c:f>
              <c:numCache>
                <c:formatCode>0.0000</c:formatCode>
                <c:ptCount val="10"/>
                <c:pt idx="0">
                  <c:v>2.0275</c:v>
                </c:pt>
                <c:pt idx="1">
                  <c:v>2.0515</c:v>
                </c:pt>
                <c:pt idx="2">
                  <c:v>1.989</c:v>
                </c:pt>
                <c:pt idx="3">
                  <c:v>1.9876</c:v>
                </c:pt>
                <c:pt idx="4">
                  <c:v>1.9366</c:v>
                </c:pt>
                <c:pt idx="5">
                  <c:v>1.8802</c:v>
                </c:pt>
                <c:pt idx="6">
                  <c:v>1.8242</c:v>
                </c:pt>
                <c:pt idx="7">
                  <c:v>1.7837</c:v>
                </c:pt>
                <c:pt idx="8">
                  <c:v>1.7346</c:v>
                </c:pt>
                <c:pt idx="9">
                  <c:v>1.6903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195088"/>
        <c:axId val="42150201"/>
      </c:lineChart>
      <c:catAx>
        <c:axId val="891950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50201"/>
        <c:crosses val="autoZero"/>
        <c:auto val="1"/>
        <c:lblAlgn val="ctr"/>
        <c:lblOffset val="100"/>
        <c:noMultiLvlLbl val="0"/>
      </c:catAx>
      <c:valAx>
        <c:axId val="42150201"/>
        <c:scaling>
          <c:orientation val="minMax"/>
          <c:max val="2.2"/>
          <c:min val="1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950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Akurasi dan Macro F1 pada Test 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Grafik!C33</c:f>
              <c:strCache>
                <c:ptCount val="1"/>
                <c:pt idx="0">
                  <c:v>Akurasi Test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Grafik!$B$34:$B$37</c:f>
              <c:strCache>
                <c:ptCount val="4"/>
                <c:pt idx="0">
                  <c:v>2W2P</c:v>
                </c:pt>
                <c:pt idx="1">
                  <c:v>2W8P</c:v>
                </c:pt>
                <c:pt idx="2">
                  <c:v>8W2P</c:v>
                </c:pt>
                <c:pt idx="3">
                  <c:v>8W8P</c:v>
                </c:pt>
              </c:strCache>
            </c:strRef>
          </c:cat>
          <c:val>
            <c:numRef>
              <c:f>Grafik!$C$34:$C$37</c:f>
              <c:numCache>
                <c:formatCode>0.00%</c:formatCode>
                <c:ptCount val="4"/>
                <c:pt idx="0">
                  <c:v>0.6754</c:v>
                </c:pt>
                <c:pt idx="1">
                  <c:v>0.65</c:v>
                </c:pt>
                <c:pt idx="2">
                  <c:v>0.6378</c:v>
                </c:pt>
                <c:pt idx="3">
                  <c:v>0.6246</c:v>
                </c:pt>
              </c:numCache>
            </c:numRef>
          </c:val>
        </c:ser>
        <c:ser>
          <c:idx val="1"/>
          <c:order val="1"/>
          <c:tx>
            <c:strRef>
              <c:f>Grafik!D33</c:f>
              <c:strCache>
                <c:ptCount val="1"/>
                <c:pt idx="0">
                  <c:v>Macro F1</c:v>
                </c:pt>
              </c:strCache>
            </c:strRef>
          </c:tx>
          <c:spPr>
            <a:solidFill>
              <a:srgbClr val="8faad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Grafik!$B$34:$B$37</c:f>
              <c:strCache>
                <c:ptCount val="4"/>
                <c:pt idx="0">
                  <c:v>2W2P</c:v>
                </c:pt>
                <c:pt idx="1">
                  <c:v>2W8P</c:v>
                </c:pt>
                <c:pt idx="2">
                  <c:v>8W2P</c:v>
                </c:pt>
                <c:pt idx="3">
                  <c:v>8W8P</c:v>
                </c:pt>
              </c:strCache>
            </c:strRef>
          </c:cat>
          <c:val>
            <c:numRef>
              <c:f>Grafik!$D$34:$D$37</c:f>
              <c:numCache>
                <c:formatCode>0.0000</c:formatCode>
                <c:ptCount val="4"/>
                <c:pt idx="0">
                  <c:v>0.6026</c:v>
                </c:pt>
                <c:pt idx="1">
                  <c:v>0.5823</c:v>
                </c:pt>
                <c:pt idx="2">
                  <c:v>0.5723</c:v>
                </c:pt>
                <c:pt idx="3">
                  <c:v>0.5703</c:v>
                </c:pt>
              </c:numCache>
            </c:numRef>
          </c:val>
        </c:ser>
        <c:gapWidth val="150"/>
        <c:overlap val="0"/>
        <c:axId val="76502806"/>
        <c:axId val="78306994"/>
      </c:barChart>
      <c:catAx>
        <c:axId val="765028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306994"/>
        <c:crosses val="autoZero"/>
        <c:auto val="1"/>
        <c:lblAlgn val="ctr"/>
        <c:lblOffset val="100"/>
        <c:noMultiLvlLbl val="0"/>
      </c:catAx>
      <c:valAx>
        <c:axId val="7830699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028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Waktu Preprocessing: Baseline vs Jurnal (detik)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Grafik!C40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Grafik!$B$41:$B$44</c:f>
              <c:strCache>
                <c:ptCount val="4"/>
                <c:pt idx="0">
                  <c:v>2W2P</c:v>
                </c:pt>
                <c:pt idx="1">
                  <c:v>2W8P</c:v>
                </c:pt>
                <c:pt idx="2">
                  <c:v>8W2P</c:v>
                </c:pt>
                <c:pt idx="3">
                  <c:v>8W8P</c:v>
                </c:pt>
              </c:strCache>
            </c:strRef>
          </c:cat>
          <c:val>
            <c:numRef>
              <c:f>Grafik!$C$41:$C$44</c:f>
              <c:numCache>
                <c:formatCode>0.00</c:formatCode>
                <c:ptCount val="4"/>
                <c:pt idx="0">
                  <c:v>94.41</c:v>
                </c:pt>
                <c:pt idx="1">
                  <c:v>89.44</c:v>
                </c:pt>
                <c:pt idx="2">
                  <c:v>91.87</c:v>
                </c:pt>
                <c:pt idx="3">
                  <c:v>93.03</c:v>
                </c:pt>
              </c:numCache>
            </c:numRef>
          </c:val>
        </c:ser>
        <c:ser>
          <c:idx val="1"/>
          <c:order val="1"/>
          <c:tx>
            <c:strRef>
              <c:f>Grafik!D40</c:f>
              <c:strCache>
                <c:ptCount val="1"/>
                <c:pt idx="0">
                  <c:v>Jurnal</c:v>
                </c:pt>
              </c:strCache>
            </c:strRef>
          </c:tx>
          <c:spPr>
            <a:solidFill>
              <a:srgbClr val="8faad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Grafik!$B$41:$B$44</c:f>
              <c:strCache>
                <c:ptCount val="4"/>
                <c:pt idx="0">
                  <c:v>2W2P</c:v>
                </c:pt>
                <c:pt idx="1">
                  <c:v>2W8P</c:v>
                </c:pt>
                <c:pt idx="2">
                  <c:v>8W2P</c:v>
                </c:pt>
                <c:pt idx="3">
                  <c:v>8W8P</c:v>
                </c:pt>
              </c:strCache>
            </c:strRef>
          </c:cat>
          <c:val>
            <c:numRef>
              <c:f>Grafik!$D$41:$D$44</c:f>
              <c:numCache>
                <c:formatCode>0.00</c:formatCode>
                <c:ptCount val="4"/>
                <c:pt idx="0">
                  <c:v>264.76</c:v>
                </c:pt>
                <c:pt idx="1">
                  <c:v>263.93</c:v>
                </c:pt>
                <c:pt idx="2">
                  <c:v>280.25</c:v>
                </c:pt>
                <c:pt idx="3">
                  <c:v>240.74</c:v>
                </c:pt>
              </c:numCache>
            </c:numRef>
          </c:val>
        </c:ser>
        <c:gapWidth val="150"/>
        <c:overlap val="0"/>
        <c:axId val="95973056"/>
        <c:axId val="57565881"/>
      </c:barChart>
      <c:catAx>
        <c:axId val="9597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65881"/>
        <c:crosses val="autoZero"/>
        <c:auto val="1"/>
        <c:lblAlgn val="ctr"/>
        <c:lblOffset val="100"/>
        <c:noMultiLvlLbl val="0"/>
      </c:catAx>
      <c:valAx>
        <c:axId val="5756588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730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16</xdr:col>
      <xdr:colOff>255960</xdr:colOff>
      <xdr:row>16</xdr:row>
      <xdr:rowOff>146880</xdr:rowOff>
    </xdr:to>
    <xdr:graphicFrame>
      <xdr:nvGraphicFramePr>
        <xdr:cNvPr id="0" name="Chart 1"/>
        <xdr:cNvGraphicFramePr/>
      </xdr:nvGraphicFramePr>
      <xdr:xfrm>
        <a:off x="4840560" y="6858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16</xdr:col>
      <xdr:colOff>255960</xdr:colOff>
      <xdr:row>32</xdr:row>
      <xdr:rowOff>223200</xdr:rowOff>
    </xdr:to>
    <xdr:graphicFrame>
      <xdr:nvGraphicFramePr>
        <xdr:cNvPr id="1" name="Chart 2"/>
        <xdr:cNvGraphicFramePr/>
      </xdr:nvGraphicFramePr>
      <xdr:xfrm>
        <a:off x="4840560" y="38862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35</xdr:row>
      <xdr:rowOff>0</xdr:rowOff>
    </xdr:from>
    <xdr:to>
      <xdr:col>16</xdr:col>
      <xdr:colOff>255960</xdr:colOff>
      <xdr:row>48</xdr:row>
      <xdr:rowOff>146880</xdr:rowOff>
    </xdr:to>
    <xdr:graphicFrame>
      <xdr:nvGraphicFramePr>
        <xdr:cNvPr id="2" name="Chart 3"/>
        <xdr:cNvGraphicFramePr/>
      </xdr:nvGraphicFramePr>
      <xdr:xfrm>
        <a:off x="4840560" y="70102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51</xdr:row>
      <xdr:rowOff>0</xdr:rowOff>
    </xdr:from>
    <xdr:to>
      <xdr:col>16</xdr:col>
      <xdr:colOff>255960</xdr:colOff>
      <xdr:row>65</xdr:row>
      <xdr:rowOff>32760</xdr:rowOff>
    </xdr:to>
    <xdr:graphicFrame>
      <xdr:nvGraphicFramePr>
        <xdr:cNvPr id="3" name="Chart 4"/>
        <xdr:cNvGraphicFramePr/>
      </xdr:nvGraphicFramePr>
      <xdr:xfrm>
        <a:off x="4840560" y="101347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52"/>
  </cols>
  <sheetData>
    <row r="2" customFormat="false" ht="24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1" hidden="false" customHeight="true" outlineLevel="0" collapsed="false">
      <c r="B6" s="4" t="s">
        <v>3</v>
      </c>
      <c r="C6" s="5" t="s">
        <v>4</v>
      </c>
      <c r="D6" s="5"/>
      <c r="E6" s="5"/>
    </row>
    <row r="7" customFormat="false" ht="33.75" hidden="false" customHeight="true" outlineLevel="0" collapsed="false">
      <c r="B7" s="6" t="s">
        <v>5</v>
      </c>
      <c r="C7" s="6" t="s">
        <v>6</v>
      </c>
      <c r="D7" s="6"/>
      <c r="E7" s="6"/>
    </row>
    <row r="8" customFormat="false" ht="18.75" hidden="false" customHeight="true" outlineLevel="0" collapsed="false">
      <c r="B8" s="6" t="s">
        <v>7</v>
      </c>
      <c r="C8" s="6" t="s">
        <v>8</v>
      </c>
      <c r="D8" s="6"/>
      <c r="E8" s="6"/>
    </row>
    <row r="9" customFormat="false" ht="18.75" hidden="false" customHeight="true" outlineLevel="0" collapsed="false">
      <c r="B9" s="6" t="s">
        <v>9</v>
      </c>
      <c r="C9" s="6" t="s">
        <v>10</v>
      </c>
      <c r="D9" s="6"/>
      <c r="E9" s="6"/>
    </row>
    <row r="10" customFormat="false" ht="33.75" hidden="false" customHeight="true" outlineLevel="0" collapsed="false">
      <c r="B10" s="6" t="s">
        <v>11</v>
      </c>
      <c r="C10" s="6" t="s">
        <v>12</v>
      </c>
      <c r="D10" s="6"/>
      <c r="E10" s="6"/>
    </row>
    <row r="11" customFormat="false" ht="18.75" hidden="false" customHeight="true" outlineLevel="0" collapsed="false">
      <c r="B11" s="6" t="s">
        <v>13</v>
      </c>
      <c r="C11" s="6" t="s">
        <v>14</v>
      </c>
      <c r="D11" s="6"/>
      <c r="E11" s="6"/>
    </row>
    <row r="12" customFormat="false" ht="18.75" hidden="false" customHeight="true" outlineLevel="0" collapsed="false">
      <c r="B12" s="6" t="s">
        <v>15</v>
      </c>
      <c r="C12" s="6" t="s">
        <v>16</v>
      </c>
      <c r="D12" s="6"/>
      <c r="E12" s="6"/>
    </row>
    <row r="13" customFormat="false" ht="18.75" hidden="false" customHeight="true" outlineLevel="0" collapsed="false">
      <c r="B13" s="6" t="s">
        <v>17</v>
      </c>
      <c r="C13" s="6" t="s">
        <v>18</v>
      </c>
      <c r="D13" s="6"/>
      <c r="E13" s="6"/>
    </row>
    <row r="14" customFormat="false" ht="18.75" hidden="false" customHeight="true" outlineLevel="0" collapsed="false">
      <c r="B14" s="6" t="s">
        <v>19</v>
      </c>
      <c r="C14" s="6" t="s">
        <v>20</v>
      </c>
      <c r="D14" s="6"/>
      <c r="E14" s="6"/>
    </row>
    <row r="15" customFormat="false" ht="18.75" hidden="false" customHeight="true" outlineLevel="0" collapsed="false">
      <c r="B15" s="6" t="s">
        <v>21</v>
      </c>
      <c r="C15" s="6" t="s">
        <v>22</v>
      </c>
      <c r="D15" s="6"/>
      <c r="E15" s="6"/>
    </row>
    <row r="16" customFormat="false" ht="18.75" hidden="false" customHeight="true" outlineLevel="0" collapsed="false">
      <c r="B16" s="6" t="s">
        <v>23</v>
      </c>
      <c r="C16" s="6" t="s">
        <v>24</v>
      </c>
      <c r="D16" s="6"/>
      <c r="E16" s="6"/>
    </row>
    <row r="18" customFormat="false" ht="15" hidden="false" customHeight="false" outlineLevel="0" collapsed="false">
      <c r="B18" s="3" t="s">
        <v>25</v>
      </c>
    </row>
    <row r="19" customFormat="false" ht="21" hidden="false" customHeight="true" outlineLevel="0" collapsed="false">
      <c r="B19" s="4" t="s">
        <v>26</v>
      </c>
      <c r="C19" s="4" t="s">
        <v>27</v>
      </c>
      <c r="D19" s="4" t="s">
        <v>19</v>
      </c>
      <c r="E19" s="4" t="s">
        <v>4</v>
      </c>
    </row>
    <row r="20" customFormat="false" ht="18.75" hidden="false" customHeight="true" outlineLevel="0" collapsed="false">
      <c r="B20" s="6" t="s">
        <v>28</v>
      </c>
      <c r="C20" s="7" t="n">
        <f aca="false">MAX('Hasil Akurasi'!E6:E9)</f>
        <v>0.6754</v>
      </c>
      <c r="D20" s="8" t="str">
        <f aca="false">INDEX('Hasil Akurasi'!B6:B9,MATCH(MAX('Hasil Akurasi'!E6:E9),'Hasil Akurasi'!E6:E9,0))</f>
        <v>2W2P</v>
      </c>
      <c r="E20" s="6" t="s">
        <v>29</v>
      </c>
    </row>
    <row r="21" customFormat="false" ht="18.75" hidden="false" customHeight="true" outlineLevel="0" collapsed="false">
      <c r="B21" s="6" t="s">
        <v>30</v>
      </c>
      <c r="C21" s="7" t="n">
        <f aca="false">MIN('Hasil Akurasi'!E6:E9)</f>
        <v>0.6246</v>
      </c>
      <c r="D21" s="8" t="str">
        <f aca="false">INDEX('Hasil Akurasi'!B6:B9,MATCH(MIN('Hasil Akurasi'!E6:E9),'Hasil Akurasi'!E6:E9,0))</f>
        <v>8W8P</v>
      </c>
      <c r="E21" s="6" t="s">
        <v>31</v>
      </c>
    </row>
    <row r="22" customFormat="false" ht="18.75" hidden="false" customHeight="true" outlineLevel="0" collapsed="false">
      <c r="B22" s="6" t="s">
        <v>32</v>
      </c>
      <c r="C22" s="9" t="n">
        <f aca="false">MAX('Hasil Akurasi'!F6:F9)</f>
        <v>0.6026</v>
      </c>
      <c r="D22" s="8" t="str">
        <f aca="false">INDEX('Hasil Akurasi'!B6:B9,MATCH(MAX('Hasil Akurasi'!F6:F9),'Hasil Akurasi'!F6:F9,0))</f>
        <v>2W2P</v>
      </c>
      <c r="E22" s="6" t="s">
        <v>33</v>
      </c>
    </row>
    <row r="23" customFormat="false" ht="18.75" hidden="false" customHeight="true" outlineLevel="0" collapsed="false">
      <c r="B23" s="6" t="s">
        <v>34</v>
      </c>
      <c r="C23" s="9" t="n">
        <f aca="false">MAX('Hasil Akurasi'!G6:G9)</f>
        <v>0.8424</v>
      </c>
      <c r="D23" s="8" t="str">
        <f aca="false">INDEX('Hasil Akurasi'!B6:B9,MATCH(MAX('Hasil Akurasi'!G6:G9),'Hasil Akurasi'!G6:G9,0))</f>
        <v>2W2P</v>
      </c>
      <c r="E23" s="6" t="s">
        <v>35</v>
      </c>
    </row>
    <row r="24" customFormat="false" ht="33.75" hidden="false" customHeight="true" outlineLevel="0" collapsed="false">
      <c r="B24" s="6" t="s">
        <v>36</v>
      </c>
      <c r="C24" s="10" t="n">
        <f aca="false">'Perbandingan Baseline'!E19</f>
        <v>-10.1675</v>
      </c>
      <c r="D24" s="8" t="s">
        <v>37</v>
      </c>
      <c r="E24" s="6" t="s">
        <v>38</v>
      </c>
    </row>
    <row r="25" customFormat="false" ht="18.75" hidden="false" customHeight="true" outlineLevel="0" collapsed="false">
      <c r="B25" s="6" t="s">
        <v>39</v>
      </c>
      <c r="C25" s="10" t="n">
        <f aca="false">MIN('Hasil Preprocessing'!F6:F9)</f>
        <v>240.74</v>
      </c>
      <c r="D25" s="8" t="str">
        <f aca="false">INDEX('Hasil Preprocessing'!B6:B9,MATCH(MIN('Hasil Preprocessing'!F6:F9),'Hasil Preprocessing'!F6:F9,0))</f>
        <v>8W8P</v>
      </c>
      <c r="E25" s="6" t="s">
        <v>40</v>
      </c>
    </row>
    <row r="26" customFormat="false" ht="18.75" hidden="false" customHeight="true" outlineLevel="0" collapsed="false">
      <c r="B26" s="6" t="s">
        <v>41</v>
      </c>
      <c r="C26" s="10" t="n">
        <f aca="false">MAX('Hasil Preprocessing'!F6:F9)</f>
        <v>280.25</v>
      </c>
      <c r="D26" s="8" t="str">
        <f aca="false">INDEX('Hasil Preprocessing'!B6:B9,MATCH(MAX('Hasil Preprocessing'!F6:F9),'Hasil Preprocessing'!F6:F9,0))</f>
        <v>8W2P</v>
      </c>
      <c r="E26" s="6" t="s">
        <v>42</v>
      </c>
    </row>
    <row r="27" customFormat="false" ht="33.75" hidden="false" customHeight="true" outlineLevel="0" collapsed="false">
      <c r="B27" s="6" t="s">
        <v>43</v>
      </c>
      <c r="C27" s="10" t="n">
        <f aca="false">'Perbandingan Baseline'!E11</f>
        <v>2.8483885742747</v>
      </c>
      <c r="D27" s="8" t="s">
        <v>37</v>
      </c>
      <c r="E27" s="6" t="s">
        <v>44</v>
      </c>
    </row>
    <row r="28" customFormat="false" ht="18.75" hidden="false" customHeight="true" outlineLevel="0" collapsed="false">
      <c r="B28" s="6" t="s">
        <v>45</v>
      </c>
      <c r="C28" s="7" t="n">
        <f aca="false">'Hasil Preprocessing'!F17</f>
        <v>0.166024216588817</v>
      </c>
      <c r="D28" s="8" t="s">
        <v>37</v>
      </c>
      <c r="E28" s="6" t="s">
        <v>46</v>
      </c>
    </row>
    <row r="29" customFormat="false" ht="18.75" hidden="false" customHeight="true" outlineLevel="0" collapsed="false">
      <c r="B29" s="6" t="s">
        <v>47</v>
      </c>
      <c r="C29" s="10" t="n">
        <f aca="false">AVERAGE('Hasil Akurasi'!L6:L9)</f>
        <v>618.4625</v>
      </c>
      <c r="D29" s="8" t="s">
        <v>37</v>
      </c>
      <c r="E29" s="6" t="s">
        <v>48</v>
      </c>
    </row>
    <row r="31" customFormat="false" ht="15" hidden="false" customHeight="false" outlineLevel="0" collapsed="false">
      <c r="B31" s="3" t="s">
        <v>49</v>
      </c>
    </row>
    <row r="32" customFormat="false" ht="15" hidden="false" customHeight="false" outlineLevel="0" collapsed="false">
      <c r="B32" s="5" t="s">
        <v>50</v>
      </c>
      <c r="C32" s="5" t="s">
        <v>51</v>
      </c>
      <c r="D32" s="5"/>
      <c r="E32" s="5"/>
    </row>
    <row r="33" customFormat="false" ht="18.75" hidden="false" customHeight="true" outlineLevel="0" collapsed="false">
      <c r="B33" s="8" t="n">
        <v>1</v>
      </c>
      <c r="C33" s="6" t="s">
        <v>52</v>
      </c>
      <c r="D33" s="6"/>
      <c r="E33" s="6"/>
    </row>
    <row r="34" customFormat="false" ht="18.75" hidden="false" customHeight="true" outlineLevel="0" collapsed="false">
      <c r="B34" s="8" t="n">
        <v>2</v>
      </c>
      <c r="C34" s="6" t="s">
        <v>53</v>
      </c>
      <c r="D34" s="6"/>
      <c r="E34" s="6"/>
    </row>
    <row r="35" customFormat="false" ht="18.75" hidden="false" customHeight="true" outlineLevel="0" collapsed="false">
      <c r="B35" s="8" t="n">
        <v>3</v>
      </c>
      <c r="C35" s="6" t="s">
        <v>54</v>
      </c>
      <c r="D35" s="6"/>
      <c r="E35" s="6"/>
    </row>
    <row r="36" customFormat="false" ht="18.75" hidden="false" customHeight="true" outlineLevel="0" collapsed="false">
      <c r="B36" s="8" t="n">
        <v>4</v>
      </c>
      <c r="C36" s="6" t="s">
        <v>55</v>
      </c>
      <c r="D36" s="6"/>
      <c r="E36" s="6"/>
    </row>
    <row r="37" customFormat="false" ht="33.75" hidden="false" customHeight="true" outlineLevel="0" collapsed="false">
      <c r="B37" s="8" t="n">
        <v>5</v>
      </c>
      <c r="C37" s="6" t="s">
        <v>56</v>
      </c>
      <c r="D37" s="6"/>
      <c r="E37" s="6"/>
    </row>
    <row r="38" customFormat="false" ht="33.75" hidden="false" customHeight="true" outlineLevel="0" collapsed="false">
      <c r="B38" s="8" t="n">
        <v>6</v>
      </c>
      <c r="C38" s="6" t="s">
        <v>57</v>
      </c>
      <c r="D38" s="6"/>
      <c r="E38" s="6"/>
    </row>
    <row r="39" customFormat="false" ht="18.75" hidden="false" customHeight="true" outlineLevel="0" collapsed="false">
      <c r="B39" s="8" t="n">
        <v>7</v>
      </c>
      <c r="C39" s="6" t="s">
        <v>58</v>
      </c>
      <c r="D39" s="6"/>
      <c r="E39" s="6"/>
    </row>
  </sheetData>
  <mergeCells count="19"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32:E32"/>
    <mergeCell ref="C33:E33"/>
    <mergeCell ref="C34:E34"/>
    <mergeCell ref="C35:E35"/>
    <mergeCell ref="C36:E36"/>
    <mergeCell ref="C37:E37"/>
    <mergeCell ref="C38:E38"/>
    <mergeCell ref="C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28"/>
    <col collapsed="false" customWidth="true" hidden="false" outlineLevel="0" max="6" min="6" style="0" width="30"/>
  </cols>
  <sheetData>
    <row r="2" customFormat="false" ht="24" hidden="false" customHeight="true" outlineLevel="0" collapsed="false">
      <c r="B2" s="1" t="s">
        <v>59</v>
      </c>
    </row>
    <row r="3" customFormat="false" ht="15" hidden="false" customHeight="false" outlineLevel="0" collapsed="false">
      <c r="B3" s="2" t="s">
        <v>60</v>
      </c>
    </row>
    <row r="5" customFormat="false" ht="36" hidden="false" customHeight="true" outlineLevel="0" collapsed="false">
      <c r="B5" s="11" t="s">
        <v>61</v>
      </c>
      <c r="C5" s="11"/>
      <c r="D5" s="11"/>
      <c r="E5" s="11"/>
      <c r="F5" s="11"/>
    </row>
    <row r="7" customFormat="false" ht="21" hidden="false" customHeight="true" outlineLevel="0" collapsed="false">
      <c r="B7" s="4" t="s">
        <v>50</v>
      </c>
      <c r="C7" s="4" t="s">
        <v>62</v>
      </c>
      <c r="D7" s="4" t="s">
        <v>63</v>
      </c>
      <c r="E7" s="4" t="s">
        <v>64</v>
      </c>
      <c r="F7" s="4" t="s">
        <v>65</v>
      </c>
    </row>
    <row r="8" customFormat="false" ht="33.75" hidden="false" customHeight="true" outlineLevel="0" collapsed="false">
      <c r="B8" s="8" t="n">
        <v>1</v>
      </c>
      <c r="C8" s="6" t="s">
        <v>66</v>
      </c>
      <c r="D8" s="6" t="s">
        <v>67</v>
      </c>
      <c r="E8" s="6" t="s">
        <v>68</v>
      </c>
      <c r="F8" s="6" t="s">
        <v>69</v>
      </c>
    </row>
    <row r="9" customFormat="false" ht="33.75" hidden="false" customHeight="true" outlineLevel="0" collapsed="false">
      <c r="B9" s="8" t="n">
        <v>2</v>
      </c>
      <c r="C9" s="6" t="s">
        <v>70</v>
      </c>
      <c r="D9" s="6" t="s">
        <v>71</v>
      </c>
      <c r="E9" s="6" t="s">
        <v>72</v>
      </c>
      <c r="F9" s="6" t="s">
        <v>73</v>
      </c>
    </row>
    <row r="10" customFormat="false" ht="33.75" hidden="false" customHeight="true" outlineLevel="0" collapsed="false">
      <c r="B10" s="8" t="n">
        <v>3</v>
      </c>
      <c r="C10" s="6" t="s">
        <v>74</v>
      </c>
      <c r="D10" s="6" t="s">
        <v>75</v>
      </c>
      <c r="E10" s="6" t="s">
        <v>76</v>
      </c>
      <c r="F10" s="6" t="s">
        <v>77</v>
      </c>
    </row>
    <row r="11" customFormat="false" ht="33.75" hidden="false" customHeight="true" outlineLevel="0" collapsed="false">
      <c r="B11" s="8" t="n">
        <v>4</v>
      </c>
      <c r="C11" s="6" t="s">
        <v>78</v>
      </c>
      <c r="D11" s="6" t="s">
        <v>79</v>
      </c>
      <c r="E11" s="6" t="s">
        <v>80</v>
      </c>
      <c r="F11" s="6" t="s">
        <v>81</v>
      </c>
    </row>
    <row r="12" customFormat="false" ht="33.75" hidden="false" customHeight="true" outlineLevel="0" collapsed="false">
      <c r="B12" s="8" t="n">
        <v>5</v>
      </c>
      <c r="C12" s="6" t="s">
        <v>82</v>
      </c>
      <c r="D12" s="6" t="s">
        <v>83</v>
      </c>
      <c r="E12" s="6" t="s">
        <v>84</v>
      </c>
      <c r="F12" s="6" t="s">
        <v>85</v>
      </c>
    </row>
    <row r="13" customFormat="false" ht="33.75" hidden="false" customHeight="true" outlineLevel="0" collapsed="false">
      <c r="B13" s="8" t="n">
        <v>6</v>
      </c>
      <c r="C13" s="6" t="s">
        <v>86</v>
      </c>
      <c r="D13" s="6" t="s">
        <v>87</v>
      </c>
      <c r="E13" s="6" t="s">
        <v>88</v>
      </c>
      <c r="F13" s="6" t="s">
        <v>89</v>
      </c>
    </row>
    <row r="14" customFormat="false" ht="48.75" hidden="false" customHeight="true" outlineLevel="0" collapsed="false">
      <c r="B14" s="8" t="n">
        <v>7</v>
      </c>
      <c r="C14" s="6" t="s">
        <v>90</v>
      </c>
      <c r="D14" s="6" t="s">
        <v>91</v>
      </c>
      <c r="E14" s="6" t="s">
        <v>92</v>
      </c>
      <c r="F14" s="6" t="s">
        <v>93</v>
      </c>
    </row>
    <row r="15" customFormat="false" ht="18.75" hidden="false" customHeight="true" outlineLevel="0" collapsed="false">
      <c r="B15" s="8" t="n">
        <v>8</v>
      </c>
      <c r="C15" s="6" t="s">
        <v>94</v>
      </c>
      <c r="D15" s="6" t="s">
        <v>95</v>
      </c>
      <c r="E15" s="6" t="s">
        <v>96</v>
      </c>
      <c r="F15" s="6" t="s">
        <v>97</v>
      </c>
    </row>
    <row r="16" customFormat="false" ht="18.75" hidden="false" customHeight="true" outlineLevel="0" collapsed="false">
      <c r="B16" s="8" t="n">
        <v>9</v>
      </c>
      <c r="C16" s="6" t="s">
        <v>98</v>
      </c>
      <c r="D16" s="6" t="s">
        <v>99</v>
      </c>
      <c r="E16" s="6" t="s">
        <v>100</v>
      </c>
      <c r="F16" s="6" t="s">
        <v>101</v>
      </c>
    </row>
    <row r="17" customFormat="false" ht="33.75" hidden="false" customHeight="true" outlineLevel="0" collapsed="false">
      <c r="B17" s="8" t="n">
        <v>10</v>
      </c>
      <c r="C17" s="6" t="s">
        <v>102</v>
      </c>
      <c r="D17" s="6" t="s">
        <v>103</v>
      </c>
      <c r="E17" s="6" t="s">
        <v>104</v>
      </c>
      <c r="F17" s="6" t="s">
        <v>105</v>
      </c>
    </row>
    <row r="18" customFormat="false" ht="33.75" hidden="false" customHeight="true" outlineLevel="0" collapsed="false">
      <c r="B18" s="8" t="n">
        <v>11</v>
      </c>
      <c r="C18" s="6" t="s">
        <v>106</v>
      </c>
      <c r="D18" s="6" t="s">
        <v>107</v>
      </c>
      <c r="E18" s="6" t="s">
        <v>108</v>
      </c>
      <c r="F18" s="6" t="s">
        <v>109</v>
      </c>
    </row>
    <row r="19" customFormat="false" ht="33.75" hidden="false" customHeight="true" outlineLevel="0" collapsed="false">
      <c r="B19" s="8" t="n">
        <v>12</v>
      </c>
      <c r="C19" s="6" t="s">
        <v>110</v>
      </c>
      <c r="D19" s="6" t="s">
        <v>111</v>
      </c>
      <c r="E19" s="6" t="s">
        <v>112</v>
      </c>
      <c r="F19" s="6" t="s">
        <v>113</v>
      </c>
    </row>
    <row r="20" customFormat="false" ht="33.75" hidden="false" customHeight="true" outlineLevel="0" collapsed="false">
      <c r="B20" s="8" t="n">
        <v>13</v>
      </c>
      <c r="C20" s="6" t="s">
        <v>114</v>
      </c>
      <c r="D20" s="6" t="s">
        <v>115</v>
      </c>
      <c r="E20" s="6" t="s">
        <v>116</v>
      </c>
      <c r="F20" s="6" t="s">
        <v>117</v>
      </c>
    </row>
    <row r="22" customFormat="false" ht="15" hidden="false" customHeight="false" outlineLevel="0" collapsed="false">
      <c r="B22" s="12" t="s">
        <v>118</v>
      </c>
    </row>
  </sheetData>
  <mergeCells count="1">
    <mergeCell ref="B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24" hidden="false" customHeight="true" outlineLevel="0" collapsed="false">
      <c r="B2" s="1" t="s">
        <v>119</v>
      </c>
    </row>
    <row r="3" customFormat="false" ht="15" hidden="false" customHeight="false" outlineLevel="0" collapsed="false">
      <c r="B3" s="2" t="s">
        <v>120</v>
      </c>
    </row>
    <row r="5" customFormat="false" ht="15" hidden="false" customHeight="false" outlineLevel="0" collapsed="false">
      <c r="B5" s="3" t="s">
        <v>121</v>
      </c>
    </row>
    <row r="6" customFormat="false" ht="21" hidden="false" customHeight="true" outlineLevel="0" collapsed="false">
      <c r="B6" s="4" t="s">
        <v>3</v>
      </c>
      <c r="C6" s="4" t="s">
        <v>4</v>
      </c>
    </row>
    <row r="7" customFormat="false" ht="33.75" hidden="false" customHeight="true" outlineLevel="0" collapsed="false">
      <c r="B7" s="6" t="s">
        <v>122</v>
      </c>
      <c r="C7" s="6" t="s">
        <v>123</v>
      </c>
    </row>
    <row r="8" customFormat="false" ht="18.75" hidden="false" customHeight="true" outlineLevel="0" collapsed="false">
      <c r="B8" s="6" t="s">
        <v>124</v>
      </c>
      <c r="C8" s="6" t="s">
        <v>125</v>
      </c>
    </row>
    <row r="9" customFormat="false" ht="18.75" hidden="false" customHeight="true" outlineLevel="0" collapsed="false">
      <c r="B9" s="6" t="s">
        <v>126</v>
      </c>
      <c r="C9" s="6" t="s">
        <v>127</v>
      </c>
    </row>
    <row r="10" customFormat="false" ht="33.75" hidden="false" customHeight="true" outlineLevel="0" collapsed="false">
      <c r="B10" s="6" t="s">
        <v>128</v>
      </c>
      <c r="C10" s="6" t="s">
        <v>129</v>
      </c>
    </row>
    <row r="11" customFormat="false" ht="18.75" hidden="false" customHeight="true" outlineLevel="0" collapsed="false">
      <c r="B11" s="6" t="s">
        <v>21</v>
      </c>
      <c r="C11" s="6" t="s">
        <v>22</v>
      </c>
    </row>
    <row r="13" customFormat="false" ht="15" hidden="false" customHeight="false" outlineLevel="0" collapsed="false">
      <c r="B13" s="3" t="s">
        <v>130</v>
      </c>
    </row>
    <row r="14" customFormat="false" ht="21" hidden="false" customHeight="true" outlineLevel="0" collapsed="false">
      <c r="B14" s="4" t="s">
        <v>3</v>
      </c>
      <c r="C14" s="4" t="s">
        <v>4</v>
      </c>
    </row>
    <row r="15" customFormat="false" ht="18.75" hidden="false" customHeight="true" outlineLevel="0" collapsed="false">
      <c r="B15" s="6" t="s">
        <v>17</v>
      </c>
      <c r="C15" s="6" t="s">
        <v>131</v>
      </c>
    </row>
    <row r="16" customFormat="false" ht="18.75" hidden="false" customHeight="true" outlineLevel="0" collapsed="false">
      <c r="B16" s="6" t="s">
        <v>132</v>
      </c>
      <c r="C16" s="6" t="s">
        <v>133</v>
      </c>
    </row>
    <row r="17" customFormat="false" ht="18.75" hidden="false" customHeight="true" outlineLevel="0" collapsed="false">
      <c r="B17" s="6" t="s">
        <v>134</v>
      </c>
      <c r="C17" s="6" t="s">
        <v>135</v>
      </c>
    </row>
    <row r="18" customFormat="false" ht="18.75" hidden="false" customHeight="true" outlineLevel="0" collapsed="false">
      <c r="B18" s="6" t="s">
        <v>136</v>
      </c>
      <c r="C18" s="6" t="s">
        <v>137</v>
      </c>
    </row>
    <row r="19" customFormat="false" ht="18.75" hidden="false" customHeight="true" outlineLevel="0" collapsed="false">
      <c r="B19" s="6" t="s">
        <v>138</v>
      </c>
      <c r="C19" s="6" t="s">
        <v>139</v>
      </c>
    </row>
    <row r="20" customFormat="false" ht="18.75" hidden="false" customHeight="true" outlineLevel="0" collapsed="false">
      <c r="B20" s="6" t="s">
        <v>72</v>
      </c>
      <c r="C20" s="6" t="s">
        <v>140</v>
      </c>
    </row>
    <row r="21" customFormat="false" ht="18.75" hidden="false" customHeight="true" outlineLevel="0" collapsed="false">
      <c r="B21" s="6" t="s">
        <v>141</v>
      </c>
      <c r="C21" s="6" t="s">
        <v>142</v>
      </c>
    </row>
    <row r="22" customFormat="false" ht="18.75" hidden="false" customHeight="true" outlineLevel="0" collapsed="false">
      <c r="B22" s="6" t="s">
        <v>143</v>
      </c>
      <c r="C22" s="6" t="s">
        <v>144</v>
      </c>
    </row>
    <row r="24" customFormat="false" ht="15" hidden="false" customHeight="false" outlineLevel="0" collapsed="false">
      <c r="B24" s="3" t="s">
        <v>145</v>
      </c>
    </row>
    <row r="25" customFormat="false" ht="21" hidden="false" customHeight="true" outlineLevel="0" collapsed="false">
      <c r="B25" s="4" t="s">
        <v>3</v>
      </c>
      <c r="C25" s="4" t="s">
        <v>4</v>
      </c>
    </row>
    <row r="26" customFormat="false" ht="18.75" hidden="false" customHeight="true" outlineLevel="0" collapsed="false">
      <c r="B26" s="6" t="s">
        <v>146</v>
      </c>
      <c r="C26" s="6" t="s">
        <v>147</v>
      </c>
    </row>
    <row r="27" customFormat="false" ht="18.75" hidden="false" customHeight="true" outlineLevel="0" collapsed="false">
      <c r="B27" s="6" t="s">
        <v>148</v>
      </c>
      <c r="C27" s="6" t="s">
        <v>149</v>
      </c>
    </row>
    <row r="28" customFormat="false" ht="18.75" hidden="false" customHeight="true" outlineLevel="0" collapsed="false">
      <c r="B28" s="6" t="s">
        <v>150</v>
      </c>
      <c r="C28" s="6" t="s">
        <v>151</v>
      </c>
    </row>
    <row r="29" customFormat="false" ht="18.75" hidden="false" customHeight="true" outlineLevel="0" collapsed="false">
      <c r="B29" s="6" t="s">
        <v>152</v>
      </c>
      <c r="C29" s="6" t="s">
        <v>153</v>
      </c>
    </row>
    <row r="30" customFormat="false" ht="33.75" hidden="false" customHeight="true" outlineLevel="0" collapsed="false">
      <c r="B30" s="6" t="s">
        <v>154</v>
      </c>
      <c r="C30" s="6" t="s">
        <v>155</v>
      </c>
    </row>
    <row r="31" customFormat="false" ht="33.75" hidden="false" customHeight="true" outlineLevel="0" collapsed="false">
      <c r="B31" s="6" t="s">
        <v>156</v>
      </c>
      <c r="C31" s="6" t="s">
        <v>157</v>
      </c>
    </row>
    <row r="33" customFormat="false" ht="15" hidden="false" customHeight="false" outlineLevel="0" collapsed="false">
      <c r="B33" s="3" t="s">
        <v>158</v>
      </c>
    </row>
    <row r="34" customFormat="false" ht="21" hidden="false" customHeight="true" outlineLevel="0" collapsed="false">
      <c r="B34" s="4" t="s">
        <v>3</v>
      </c>
      <c r="C34" s="4" t="s">
        <v>4</v>
      </c>
    </row>
    <row r="35" customFormat="false" ht="18.75" hidden="false" customHeight="true" outlineLevel="0" collapsed="false">
      <c r="B35" s="6" t="s">
        <v>159</v>
      </c>
      <c r="C35" s="6" t="s">
        <v>160</v>
      </c>
    </row>
    <row r="36" customFormat="false" ht="18.75" hidden="false" customHeight="true" outlineLevel="0" collapsed="false">
      <c r="B36" s="6" t="s">
        <v>161</v>
      </c>
      <c r="C36" s="6" t="s">
        <v>162</v>
      </c>
    </row>
    <row r="37" customFormat="false" ht="18.75" hidden="false" customHeight="true" outlineLevel="0" collapsed="false">
      <c r="B37" s="6" t="s">
        <v>163</v>
      </c>
      <c r="C37" s="6" t="s">
        <v>164</v>
      </c>
    </row>
    <row r="38" customFormat="false" ht="18.75" hidden="false" customHeight="true" outlineLevel="0" collapsed="false">
      <c r="B38" s="6" t="s">
        <v>165</v>
      </c>
      <c r="C38" s="6" t="s">
        <v>166</v>
      </c>
    </row>
    <row r="39" customFormat="false" ht="33.75" hidden="false" customHeight="true" outlineLevel="0" collapsed="false">
      <c r="B39" s="6" t="s">
        <v>167</v>
      </c>
      <c r="C39" s="6" t="s">
        <v>168</v>
      </c>
    </row>
    <row r="40" customFormat="false" ht="33.75" hidden="false" customHeight="true" outlineLevel="0" collapsed="false">
      <c r="B40" s="6" t="s">
        <v>169</v>
      </c>
      <c r="C40" s="6" t="s">
        <v>170</v>
      </c>
    </row>
    <row r="41" customFormat="false" ht="18.75" hidden="false" customHeight="true" outlineLevel="0" collapsed="false">
      <c r="B41" s="6" t="s">
        <v>171</v>
      </c>
      <c r="C41" s="6" t="s">
        <v>172</v>
      </c>
    </row>
    <row r="43" customFormat="false" ht="15" hidden="false" customHeight="false" outlineLevel="0" collapsed="false">
      <c r="B43" s="3" t="s">
        <v>173</v>
      </c>
    </row>
    <row r="44" customFormat="false" ht="21" hidden="false" customHeight="true" outlineLevel="0" collapsed="false">
      <c r="B44" s="4" t="s">
        <v>3</v>
      </c>
      <c r="C44" s="4" t="s">
        <v>4</v>
      </c>
    </row>
    <row r="45" customFormat="false" ht="18.75" hidden="false" customHeight="true" outlineLevel="0" collapsed="false">
      <c r="B45" s="6" t="s">
        <v>174</v>
      </c>
      <c r="C45" s="6" t="s">
        <v>175</v>
      </c>
    </row>
    <row r="46" customFormat="false" ht="18.75" hidden="false" customHeight="true" outlineLevel="0" collapsed="false">
      <c r="B46" s="6" t="s">
        <v>176</v>
      </c>
      <c r="C46" s="6" t="s">
        <v>177</v>
      </c>
    </row>
    <row r="47" customFormat="false" ht="18.75" hidden="false" customHeight="true" outlineLevel="0" collapsed="false">
      <c r="B47" s="6" t="s">
        <v>178</v>
      </c>
      <c r="C47" s="6" t="s">
        <v>179</v>
      </c>
    </row>
    <row r="48" customFormat="false" ht="18.75" hidden="false" customHeight="true" outlineLevel="0" collapsed="false">
      <c r="B48" s="6" t="s">
        <v>180</v>
      </c>
      <c r="C48" s="6" t="s">
        <v>181</v>
      </c>
    </row>
    <row r="49" customFormat="false" ht="18.75" hidden="false" customHeight="true" outlineLevel="0" collapsed="false">
      <c r="B49" s="6" t="s">
        <v>182</v>
      </c>
      <c r="C49" s="6" t="s">
        <v>183</v>
      </c>
    </row>
    <row r="50" customFormat="false" ht="18.75" hidden="false" customHeight="true" outlineLevel="0" collapsed="false">
      <c r="B50" s="6" t="s">
        <v>184</v>
      </c>
      <c r="C50" s="6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4"/>
  </cols>
  <sheetData>
    <row r="2" customFormat="false" ht="24" hidden="false" customHeight="true" outlineLevel="0" collapsed="false">
      <c r="B2" s="1" t="s">
        <v>186</v>
      </c>
    </row>
    <row r="3" customFormat="false" ht="15" hidden="false" customHeight="false" outlineLevel="0" collapsed="false">
      <c r="B3" s="2" t="s">
        <v>187</v>
      </c>
    </row>
    <row r="5" customFormat="false" ht="15" hidden="false" customHeight="false" outlineLevel="0" collapsed="false">
      <c r="B5" s="3" t="s">
        <v>188</v>
      </c>
    </row>
    <row r="6" customFormat="false" ht="36" hidden="false" customHeight="true" outlineLevel="0" collapsed="false">
      <c r="B6" s="4" t="s">
        <v>7</v>
      </c>
      <c r="C6" s="4" t="s">
        <v>189</v>
      </c>
      <c r="D6" s="4" t="s">
        <v>190</v>
      </c>
      <c r="E6" s="4" t="s">
        <v>191</v>
      </c>
      <c r="F6" s="4" t="s">
        <v>192</v>
      </c>
      <c r="G6" s="4" t="s">
        <v>193</v>
      </c>
    </row>
    <row r="7" customFormat="false" ht="15" hidden="false" customHeight="false" outlineLevel="0" collapsed="false">
      <c r="B7" s="6" t="s">
        <v>194</v>
      </c>
      <c r="C7" s="8" t="s">
        <v>195</v>
      </c>
      <c r="D7" s="13" t="n">
        <v>14148</v>
      </c>
      <c r="E7" s="14" t="n">
        <f aca="false">D7/$D$10</f>
        <v>0.641603555394313</v>
      </c>
      <c r="F7" s="15" t="n">
        <v>236.5</v>
      </c>
      <c r="G7" s="9" t="n">
        <v>0.5207</v>
      </c>
    </row>
    <row r="8" customFormat="false" ht="15" hidden="false" customHeight="false" outlineLevel="0" collapsed="false">
      <c r="B8" s="6" t="s">
        <v>196</v>
      </c>
      <c r="C8" s="8" t="s">
        <v>197</v>
      </c>
      <c r="D8" s="13" t="n">
        <v>4895</v>
      </c>
      <c r="E8" s="14" t="n">
        <f aca="false">D8/$D$10</f>
        <v>0.221985397487642</v>
      </c>
      <c r="F8" s="15" t="n">
        <v>89.7</v>
      </c>
      <c r="G8" s="9" t="n">
        <v>1.5083</v>
      </c>
    </row>
    <row r="9" customFormat="false" ht="15" hidden="false" customHeight="false" outlineLevel="0" collapsed="false">
      <c r="B9" s="6" t="s">
        <v>198</v>
      </c>
      <c r="C9" s="8" t="s">
        <v>199</v>
      </c>
      <c r="D9" s="13" t="n">
        <v>3008</v>
      </c>
      <c r="E9" s="14" t="n">
        <f aca="false">D9/$D$10</f>
        <v>0.136411047118045</v>
      </c>
      <c r="F9" s="15" t="n">
        <v>55.5</v>
      </c>
      <c r="G9" s="9" t="n">
        <v>2.4002</v>
      </c>
    </row>
    <row r="10" customFormat="false" ht="15" hidden="false" customHeight="false" outlineLevel="0" collapsed="false">
      <c r="B10" s="16" t="s">
        <v>200</v>
      </c>
      <c r="C10" s="16"/>
      <c r="D10" s="17" t="n">
        <f aca="false">SUM(D7:D9)</f>
        <v>22051</v>
      </c>
      <c r="E10" s="18" t="n">
        <f aca="false">SUM(E7:E9)</f>
        <v>1</v>
      </c>
      <c r="F10" s="19" t="n">
        <f aca="false">SUM(F7:F9)</f>
        <v>381.7</v>
      </c>
      <c r="G10" s="16"/>
    </row>
    <row r="11" customFormat="false" ht="30" hidden="false" customHeight="true" outlineLevel="0" collapsed="false">
      <c r="B11" s="16" t="s">
        <v>201</v>
      </c>
      <c r="C11" s="16"/>
      <c r="D11" s="16"/>
      <c r="E11" s="20" t="n">
        <f aca="false">MAX(D7:D9)/MIN(D7:D9)</f>
        <v>4.70345744680851</v>
      </c>
    </row>
    <row r="13" customFormat="false" ht="15" hidden="false" customHeight="false" outlineLevel="0" collapsed="false">
      <c r="B13" s="3" t="s">
        <v>202</v>
      </c>
    </row>
    <row r="14" customFormat="false" ht="30" hidden="false" customHeight="true" outlineLevel="0" collapsed="false">
      <c r="B14" s="4" t="s">
        <v>203</v>
      </c>
      <c r="C14" s="4" t="s">
        <v>204</v>
      </c>
      <c r="D14" s="4" t="s">
        <v>205</v>
      </c>
      <c r="E14" s="4" t="s">
        <v>206</v>
      </c>
      <c r="F14" s="4" t="s">
        <v>200</v>
      </c>
      <c r="G14" s="4" t="s">
        <v>191</v>
      </c>
    </row>
    <row r="15" customFormat="false" ht="15" hidden="false" customHeight="false" outlineLevel="0" collapsed="false">
      <c r="B15" s="6" t="s">
        <v>207</v>
      </c>
      <c r="C15" s="13" t="n">
        <v>11302</v>
      </c>
      <c r="D15" s="13" t="n">
        <v>3902</v>
      </c>
      <c r="E15" s="13" t="n">
        <v>2452</v>
      </c>
      <c r="F15" s="13" t="n">
        <f aca="false">SUM(C15:E15)</f>
        <v>17656</v>
      </c>
      <c r="G15" s="14" t="n">
        <f aca="false">F15/$F$18</f>
        <v>0.800689311142352</v>
      </c>
    </row>
    <row r="16" customFormat="false" ht="15" hidden="false" customHeight="false" outlineLevel="0" collapsed="false">
      <c r="B16" s="6" t="s">
        <v>208</v>
      </c>
      <c r="C16" s="13" t="n">
        <v>1455</v>
      </c>
      <c r="D16" s="13" t="n">
        <v>450</v>
      </c>
      <c r="E16" s="13" t="n">
        <v>287</v>
      </c>
      <c r="F16" s="13" t="n">
        <f aca="false">SUM(C16:E16)</f>
        <v>2192</v>
      </c>
      <c r="G16" s="14" t="n">
        <f aca="false">F16/$F$18</f>
        <v>0.0994059226338942</v>
      </c>
    </row>
    <row r="17" customFormat="false" ht="15" hidden="false" customHeight="false" outlineLevel="0" collapsed="false">
      <c r="B17" s="6" t="s">
        <v>209</v>
      </c>
      <c r="C17" s="13" t="n">
        <v>1391</v>
      </c>
      <c r="D17" s="13" t="n">
        <v>543</v>
      </c>
      <c r="E17" s="13" t="n">
        <v>269</v>
      </c>
      <c r="F17" s="13" t="n">
        <f aca="false">SUM(C17:E17)</f>
        <v>2203</v>
      </c>
      <c r="G17" s="14" t="n">
        <f aca="false">F17/$F$18</f>
        <v>0.099904766223754</v>
      </c>
    </row>
    <row r="18" customFormat="false" ht="15" hidden="false" customHeight="false" outlineLevel="0" collapsed="false">
      <c r="B18" s="16" t="s">
        <v>200</v>
      </c>
      <c r="C18" s="17" t="n">
        <f aca="false">SUM(C15:C17)</f>
        <v>14148</v>
      </c>
      <c r="D18" s="17" t="n">
        <f aca="false">SUM(D15:D17)</f>
        <v>4895</v>
      </c>
      <c r="E18" s="17" t="n">
        <f aca="false">SUM(E15:E17)</f>
        <v>3008</v>
      </c>
      <c r="F18" s="17" t="n">
        <f aca="false">SUM(F15:F17)</f>
        <v>22051</v>
      </c>
      <c r="G18" s="18" t="n">
        <f aca="false">SUM(G15:G17)</f>
        <v>1</v>
      </c>
    </row>
    <row r="19" customFormat="false" ht="15" hidden="false" customHeight="true" outlineLevel="0" collapsed="false">
      <c r="B19" s="16" t="s">
        <v>210</v>
      </c>
      <c r="C19" s="16"/>
      <c r="D19" s="16"/>
      <c r="E19" s="16"/>
      <c r="F19" s="21" t="str">
        <f aca="false">IF(F18=D10,"Sesuai","Tidak sesuai")</f>
        <v>Sesuai</v>
      </c>
    </row>
    <row r="21" customFormat="false" ht="15" hidden="false" customHeight="false" outlineLevel="0" collapsed="false">
      <c r="B21" s="3" t="s">
        <v>211</v>
      </c>
    </row>
    <row r="22" customFormat="false" ht="21" hidden="false" customHeight="true" outlineLevel="0" collapsed="false">
      <c r="B22" s="4" t="s">
        <v>212</v>
      </c>
      <c r="C22" s="5" t="s">
        <v>4</v>
      </c>
      <c r="D22" s="5"/>
      <c r="E22" s="5"/>
      <c r="F22" s="5"/>
      <c r="G22" s="5"/>
    </row>
    <row r="23" customFormat="false" ht="31.5" hidden="false" customHeight="true" outlineLevel="0" collapsed="false">
      <c r="B23" s="6" t="s">
        <v>213</v>
      </c>
      <c r="C23" s="6" t="s">
        <v>214</v>
      </c>
      <c r="D23" s="6"/>
      <c r="E23" s="6"/>
      <c r="F23" s="6"/>
      <c r="G23" s="6"/>
    </row>
    <row r="24" customFormat="false" ht="31.5" hidden="false" customHeight="true" outlineLevel="0" collapsed="false">
      <c r="B24" s="6" t="s">
        <v>215</v>
      </c>
      <c r="C24" s="6" t="s">
        <v>216</v>
      </c>
      <c r="D24" s="6"/>
      <c r="E24" s="6"/>
      <c r="F24" s="6"/>
      <c r="G24" s="6"/>
    </row>
    <row r="25" customFormat="false" ht="31.5" hidden="false" customHeight="true" outlineLevel="0" collapsed="false">
      <c r="B25" s="6" t="s">
        <v>217</v>
      </c>
      <c r="C25" s="6" t="s">
        <v>218</v>
      </c>
      <c r="D25" s="6"/>
      <c r="E25" s="6"/>
      <c r="F25" s="6"/>
      <c r="G25" s="6"/>
    </row>
    <row r="26" customFormat="false" ht="31.5" hidden="false" customHeight="true" outlineLevel="0" collapsed="false">
      <c r="B26" s="6" t="s">
        <v>219</v>
      </c>
      <c r="C26" s="6" t="s">
        <v>220</v>
      </c>
      <c r="D26" s="6"/>
      <c r="E26" s="6"/>
      <c r="F26" s="6"/>
      <c r="G26" s="6"/>
    </row>
    <row r="27" customFormat="false" ht="31.5" hidden="false" customHeight="true" outlineLevel="0" collapsed="false">
      <c r="B27" s="6" t="s">
        <v>221</v>
      </c>
      <c r="C27" s="6" t="s">
        <v>222</v>
      </c>
      <c r="D27" s="6"/>
      <c r="E27" s="6"/>
      <c r="F27" s="6"/>
      <c r="G27" s="6"/>
    </row>
    <row r="28" customFormat="false" ht="31.5" hidden="false" customHeight="true" outlineLevel="0" collapsed="false">
      <c r="B28" s="6" t="s">
        <v>223</v>
      </c>
      <c r="C28" s="6" t="s">
        <v>224</v>
      </c>
      <c r="D28" s="6"/>
      <c r="E28" s="6"/>
      <c r="F28" s="6"/>
      <c r="G28" s="6"/>
    </row>
    <row r="29" customFormat="false" ht="31.5" hidden="false" customHeight="true" outlineLevel="0" collapsed="false">
      <c r="B29" s="6" t="s">
        <v>225</v>
      </c>
      <c r="C29" s="6" t="s">
        <v>226</v>
      </c>
      <c r="D29" s="6"/>
      <c r="E29" s="6"/>
      <c r="F29" s="6"/>
      <c r="G29" s="6"/>
    </row>
  </sheetData>
  <mergeCells count="10">
    <mergeCell ref="B11:D11"/>
    <mergeCell ref="B19:E19"/>
    <mergeCell ref="C22:G22"/>
    <mergeCell ref="C23:G23"/>
    <mergeCell ref="C24:G24"/>
    <mergeCell ref="C25:G25"/>
    <mergeCell ref="C26:G26"/>
    <mergeCell ref="C27:G27"/>
    <mergeCell ref="C28:G28"/>
    <mergeCell ref="C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4" min="4" style="0" width="62"/>
    <col collapsed="false" customWidth="true" hidden="false" outlineLevel="0" max="5" min="5" style="0" width="24"/>
    <col collapsed="false" customWidth="true" hidden="false" outlineLevel="0" max="6" min="6" style="0" width="42"/>
  </cols>
  <sheetData>
    <row r="2" customFormat="false" ht="24" hidden="false" customHeight="true" outlineLevel="0" collapsed="false">
      <c r="B2" s="1" t="s">
        <v>227</v>
      </c>
    </row>
    <row r="3" customFormat="false" ht="15" hidden="false" customHeight="false" outlineLevel="0" collapsed="false">
      <c r="B3" s="2" t="s">
        <v>228</v>
      </c>
    </row>
    <row r="5" customFormat="false" ht="15" hidden="false" customHeight="false" outlineLevel="0" collapsed="false">
      <c r="B5" s="3" t="s">
        <v>229</v>
      </c>
    </row>
    <row r="6" customFormat="false" ht="21" hidden="false" customHeight="true" outlineLevel="0" collapsed="false">
      <c r="B6" s="4" t="s">
        <v>50</v>
      </c>
      <c r="C6" s="4" t="s">
        <v>230</v>
      </c>
      <c r="D6" s="4" t="s">
        <v>231</v>
      </c>
      <c r="E6" s="4" t="s">
        <v>232</v>
      </c>
      <c r="F6" s="4" t="s">
        <v>5</v>
      </c>
    </row>
    <row r="7" customFormat="false" ht="33.75" hidden="false" customHeight="true" outlineLevel="0" collapsed="false">
      <c r="B7" s="8" t="n">
        <v>1</v>
      </c>
      <c r="C7" s="6" t="s">
        <v>233</v>
      </c>
      <c r="D7" s="6" t="s">
        <v>234</v>
      </c>
      <c r="E7" s="6" t="s">
        <v>235</v>
      </c>
      <c r="F7" s="6" t="s">
        <v>236</v>
      </c>
    </row>
    <row r="8" customFormat="false" ht="33.75" hidden="false" customHeight="true" outlineLevel="0" collapsed="false">
      <c r="B8" s="8" t="n">
        <v>2</v>
      </c>
      <c r="C8" s="6" t="s">
        <v>237</v>
      </c>
      <c r="D8" s="6" t="s">
        <v>238</v>
      </c>
      <c r="E8" s="6" t="s">
        <v>235</v>
      </c>
      <c r="F8" s="6" t="s">
        <v>239</v>
      </c>
    </row>
    <row r="9" customFormat="false" ht="33.75" hidden="false" customHeight="true" outlineLevel="0" collapsed="false">
      <c r="B9" s="8" t="n">
        <v>3</v>
      </c>
      <c r="C9" s="6" t="s">
        <v>240</v>
      </c>
      <c r="D9" s="6" t="s">
        <v>241</v>
      </c>
      <c r="E9" s="6" t="s">
        <v>235</v>
      </c>
      <c r="F9" s="6" t="s">
        <v>242</v>
      </c>
    </row>
    <row r="10" customFormat="false" ht="63.75" hidden="false" customHeight="true" outlineLevel="0" collapsed="false">
      <c r="B10" s="8" t="n">
        <v>4</v>
      </c>
      <c r="C10" s="6" t="s">
        <v>243</v>
      </c>
      <c r="D10" s="6" t="s">
        <v>244</v>
      </c>
      <c r="E10" s="6" t="s">
        <v>235</v>
      </c>
      <c r="F10" s="6" t="s">
        <v>245</v>
      </c>
    </row>
    <row r="11" customFormat="false" ht="48.75" hidden="false" customHeight="true" outlineLevel="0" collapsed="false">
      <c r="B11" s="8" t="n">
        <v>5</v>
      </c>
      <c r="C11" s="6" t="s">
        <v>246</v>
      </c>
      <c r="D11" s="6" t="s">
        <v>247</v>
      </c>
      <c r="E11" s="6" t="s">
        <v>235</v>
      </c>
      <c r="F11" s="6" t="s">
        <v>248</v>
      </c>
    </row>
    <row r="12" customFormat="false" ht="33.75" hidden="false" customHeight="true" outlineLevel="0" collapsed="false">
      <c r="B12" s="8" t="n">
        <v>6</v>
      </c>
      <c r="C12" s="6" t="s">
        <v>249</v>
      </c>
      <c r="D12" s="6" t="s">
        <v>250</v>
      </c>
      <c r="E12" s="6" t="s">
        <v>235</v>
      </c>
      <c r="F12" s="6" t="s">
        <v>251</v>
      </c>
    </row>
    <row r="13" customFormat="false" ht="33.75" hidden="false" customHeight="true" outlineLevel="0" collapsed="false">
      <c r="B13" s="8" t="n">
        <v>7</v>
      </c>
      <c r="C13" s="6" t="s">
        <v>252</v>
      </c>
      <c r="D13" s="6" t="s">
        <v>253</v>
      </c>
      <c r="E13" s="6" t="s">
        <v>235</v>
      </c>
      <c r="F13" s="6" t="s">
        <v>254</v>
      </c>
    </row>
    <row r="14" customFormat="false" ht="33.75" hidden="false" customHeight="true" outlineLevel="0" collapsed="false">
      <c r="B14" s="8" t="n">
        <v>8</v>
      </c>
      <c r="C14" s="6" t="s">
        <v>255</v>
      </c>
      <c r="D14" s="6" t="s">
        <v>256</v>
      </c>
      <c r="E14" s="6" t="s">
        <v>235</v>
      </c>
      <c r="F14" s="6" t="s">
        <v>257</v>
      </c>
    </row>
    <row r="16" customFormat="false" ht="15" hidden="false" customHeight="false" outlineLevel="0" collapsed="false">
      <c r="B16" s="3" t="s">
        <v>258</v>
      </c>
    </row>
    <row r="17" customFormat="false" ht="21" hidden="false" customHeight="true" outlineLevel="0" collapsed="false">
      <c r="B17" s="4" t="s">
        <v>50</v>
      </c>
      <c r="C17" s="4" t="s">
        <v>230</v>
      </c>
      <c r="D17" s="4" t="s">
        <v>231</v>
      </c>
      <c r="E17" s="4" t="s">
        <v>232</v>
      </c>
      <c r="F17" s="4" t="s">
        <v>5</v>
      </c>
    </row>
    <row r="18" customFormat="false" ht="48.75" hidden="false" customHeight="true" outlineLevel="0" collapsed="false">
      <c r="B18" s="8" t="n">
        <v>1</v>
      </c>
      <c r="C18" s="6" t="s">
        <v>167</v>
      </c>
      <c r="D18" s="6" t="s">
        <v>259</v>
      </c>
      <c r="E18" s="6" t="s">
        <v>260</v>
      </c>
      <c r="F18" s="6" t="s">
        <v>261</v>
      </c>
    </row>
    <row r="19" customFormat="false" ht="18.75" hidden="false" customHeight="true" outlineLevel="0" collapsed="false">
      <c r="B19" s="8" t="n">
        <v>2</v>
      </c>
      <c r="C19" s="6" t="s">
        <v>262</v>
      </c>
      <c r="D19" s="6" t="s">
        <v>263</v>
      </c>
      <c r="E19" s="6" t="s">
        <v>260</v>
      </c>
      <c r="F19" s="6" t="s">
        <v>264</v>
      </c>
    </row>
    <row r="20" customFormat="false" ht="18.75" hidden="false" customHeight="true" outlineLevel="0" collapsed="false">
      <c r="B20" s="8" t="n">
        <v>3</v>
      </c>
      <c r="C20" s="6" t="s">
        <v>265</v>
      </c>
      <c r="D20" s="6" t="s">
        <v>266</v>
      </c>
      <c r="E20" s="6" t="s">
        <v>267</v>
      </c>
      <c r="F20" s="6" t="s">
        <v>268</v>
      </c>
    </row>
    <row r="21" customFormat="false" ht="18.75" hidden="false" customHeight="true" outlineLevel="0" collapsed="false">
      <c r="B21" s="8" t="n">
        <v>4</v>
      </c>
      <c r="C21" s="6" t="s">
        <v>269</v>
      </c>
      <c r="D21" s="6" t="s">
        <v>270</v>
      </c>
      <c r="E21" s="6" t="s">
        <v>271</v>
      </c>
      <c r="F21" s="6" t="s">
        <v>272</v>
      </c>
    </row>
    <row r="23" customFormat="false" ht="15" hidden="false" customHeight="false" outlineLevel="0" collapsed="false">
      <c r="B23" s="3" t="s">
        <v>273</v>
      </c>
    </row>
    <row r="24" customFormat="false" ht="21" hidden="false" customHeight="true" outlineLevel="0" collapsed="false">
      <c r="B24" s="4" t="s">
        <v>50</v>
      </c>
      <c r="C24" s="4" t="s">
        <v>212</v>
      </c>
      <c r="D24" s="5" t="s">
        <v>4</v>
      </c>
      <c r="E24" s="5"/>
      <c r="F24" s="5"/>
    </row>
    <row r="25" customFormat="false" ht="18.75" hidden="false" customHeight="true" outlineLevel="0" collapsed="false">
      <c r="B25" s="8" t="n">
        <v>1</v>
      </c>
      <c r="C25" s="6" t="s">
        <v>274</v>
      </c>
      <c r="D25" s="6" t="s">
        <v>275</v>
      </c>
      <c r="E25" s="6"/>
      <c r="F25" s="6"/>
    </row>
    <row r="26" customFormat="false" ht="33.75" hidden="false" customHeight="true" outlineLevel="0" collapsed="false">
      <c r="B26" s="8" t="n">
        <v>2</v>
      </c>
      <c r="C26" s="6" t="s">
        <v>276</v>
      </c>
      <c r="D26" s="6" t="s">
        <v>277</v>
      </c>
      <c r="E26" s="6"/>
      <c r="F26" s="6"/>
    </row>
    <row r="27" customFormat="false" ht="18.75" hidden="false" customHeight="true" outlineLevel="0" collapsed="false">
      <c r="B27" s="8" t="n">
        <v>3</v>
      </c>
      <c r="C27" s="6" t="s">
        <v>278</v>
      </c>
      <c r="D27" s="6" t="s">
        <v>279</v>
      </c>
      <c r="E27" s="6"/>
      <c r="F27" s="6"/>
    </row>
    <row r="28" customFormat="false" ht="33.75" hidden="false" customHeight="true" outlineLevel="0" collapsed="false">
      <c r="B28" s="8" t="n">
        <v>4</v>
      </c>
      <c r="C28" s="6" t="s">
        <v>280</v>
      </c>
      <c r="D28" s="6" t="s">
        <v>281</v>
      </c>
      <c r="E28" s="6"/>
      <c r="F28" s="6"/>
    </row>
  </sheetData>
  <mergeCells count="5">
    <mergeCell ref="D24:F24"/>
    <mergeCell ref="D25:F25"/>
    <mergeCell ref="D26:F26"/>
    <mergeCell ref="D27:F27"/>
    <mergeCell ref="D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Q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10" min="9" style="0" width="13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7" min="16" style="0" width="14"/>
  </cols>
  <sheetData>
    <row r="2" customFormat="false" ht="24" hidden="false" customHeight="true" outlineLevel="0" collapsed="false">
      <c r="B2" s="1" t="s">
        <v>282</v>
      </c>
    </row>
    <row r="3" customFormat="false" ht="15" hidden="false" customHeight="false" outlineLevel="0" collapsed="false">
      <c r="B3" s="2" t="s">
        <v>283</v>
      </c>
    </row>
    <row r="5" customFormat="false" ht="36" hidden="false" customHeight="true" outlineLevel="0" collapsed="false">
      <c r="B5" s="4" t="s">
        <v>19</v>
      </c>
      <c r="C5" s="4" t="s">
        <v>284</v>
      </c>
      <c r="D5" s="4" t="s">
        <v>285</v>
      </c>
      <c r="E5" s="4" t="s">
        <v>286</v>
      </c>
      <c r="F5" s="4" t="s">
        <v>287</v>
      </c>
      <c r="G5" s="4" t="s">
        <v>190</v>
      </c>
      <c r="H5" s="4" t="s">
        <v>288</v>
      </c>
      <c r="I5" s="4" t="s">
        <v>289</v>
      </c>
      <c r="J5" s="4" t="s">
        <v>290</v>
      </c>
      <c r="K5" s="4" t="s">
        <v>291</v>
      </c>
      <c r="L5" s="4" t="s">
        <v>292</v>
      </c>
      <c r="M5" s="4" t="s">
        <v>293</v>
      </c>
      <c r="N5" s="4" t="s">
        <v>294</v>
      </c>
      <c r="O5" s="4" t="s">
        <v>295</v>
      </c>
      <c r="P5" s="4" t="s">
        <v>296</v>
      </c>
      <c r="Q5" s="4" t="s">
        <v>297</v>
      </c>
    </row>
    <row r="6" customFormat="false" ht="15" hidden="false" customHeight="false" outlineLevel="0" collapsed="false">
      <c r="B6" s="8" t="s">
        <v>298</v>
      </c>
      <c r="C6" s="8" t="n">
        <v>2</v>
      </c>
      <c r="D6" s="8" t="n">
        <v>2</v>
      </c>
      <c r="E6" s="10" t="n">
        <v>0.01</v>
      </c>
      <c r="F6" s="10" t="n">
        <v>264.76</v>
      </c>
      <c r="G6" s="13" t="n">
        <v>22051</v>
      </c>
      <c r="H6" s="15" t="n">
        <f aca="false">G6/F6</f>
        <v>83.2867502643904</v>
      </c>
      <c r="I6" s="10" t="n">
        <f aca="false">$F$6/F6</f>
        <v>1</v>
      </c>
      <c r="J6" s="10" t="n">
        <v>63.31</v>
      </c>
      <c r="K6" s="22" t="n">
        <v>6195.38</v>
      </c>
      <c r="L6" s="23" t="n">
        <v>529</v>
      </c>
      <c r="M6" s="15" t="n">
        <v>57.4</v>
      </c>
      <c r="N6" s="10" t="n">
        <f aca="false">$M$6/M6</f>
        <v>1</v>
      </c>
      <c r="O6" s="23" t="n">
        <v>346</v>
      </c>
      <c r="P6" s="13" t="n">
        <v>11020</v>
      </c>
      <c r="Q6" s="13" t="n">
        <v>11031</v>
      </c>
    </row>
    <row r="7" customFormat="false" ht="15" hidden="false" customHeight="false" outlineLevel="0" collapsed="false">
      <c r="B7" s="8" t="s">
        <v>299</v>
      </c>
      <c r="C7" s="8" t="n">
        <v>2</v>
      </c>
      <c r="D7" s="8" t="n">
        <v>8</v>
      </c>
      <c r="E7" s="10" t="n">
        <v>0.01</v>
      </c>
      <c r="F7" s="10" t="n">
        <v>263.93</v>
      </c>
      <c r="G7" s="13" t="n">
        <v>22051</v>
      </c>
      <c r="H7" s="15" t="n">
        <f aca="false">G7/F7</f>
        <v>83.5486682074793</v>
      </c>
      <c r="I7" s="10" t="n">
        <f aca="false">$F$6/F7</f>
        <v>1.00314477323533</v>
      </c>
      <c r="J7" s="10" t="n">
        <v>62.87</v>
      </c>
      <c r="K7" s="22" t="n">
        <v>6561.88</v>
      </c>
      <c r="L7" s="23" t="n">
        <v>528</v>
      </c>
      <c r="M7" s="15" t="n">
        <v>53.5</v>
      </c>
      <c r="N7" s="10" t="n">
        <f aca="false">$M$6/M7</f>
        <v>1.07289719626168</v>
      </c>
      <c r="O7" s="23" t="n">
        <v>350</v>
      </c>
      <c r="P7" s="13" t="n">
        <v>2740</v>
      </c>
      <c r="Q7" s="13" t="n">
        <v>2760</v>
      </c>
    </row>
    <row r="8" customFormat="false" ht="15" hidden="false" customHeight="false" outlineLevel="0" collapsed="false">
      <c r="B8" s="8" t="s">
        <v>300</v>
      </c>
      <c r="C8" s="8" t="n">
        <v>8</v>
      </c>
      <c r="D8" s="8" t="n">
        <v>2</v>
      </c>
      <c r="E8" s="10" t="n">
        <v>6.06</v>
      </c>
      <c r="F8" s="10" t="n">
        <v>280.25</v>
      </c>
      <c r="G8" s="13" t="n">
        <v>22051</v>
      </c>
      <c r="H8" s="15" t="n">
        <f aca="false">G8/F8</f>
        <v>78.6833184656557</v>
      </c>
      <c r="I8" s="10" t="n">
        <f aca="false">$F$6/F8</f>
        <v>0.944727921498662</v>
      </c>
      <c r="J8" s="10" t="n">
        <v>63.86</v>
      </c>
      <c r="K8" s="22" t="n">
        <v>8548.25</v>
      </c>
      <c r="L8" s="23" t="n">
        <v>560</v>
      </c>
      <c r="M8" s="15" t="n">
        <v>51</v>
      </c>
      <c r="N8" s="10" t="n">
        <f aca="false">$M$6/M8</f>
        <v>1.12549019607843</v>
      </c>
      <c r="O8" s="23" t="n">
        <v>346</v>
      </c>
      <c r="P8" s="13" t="n">
        <v>11016</v>
      </c>
      <c r="Q8" s="13" t="n">
        <v>11035</v>
      </c>
    </row>
    <row r="9" customFormat="false" ht="15" hidden="false" customHeight="false" outlineLevel="0" collapsed="false">
      <c r="B9" s="8" t="s">
        <v>301</v>
      </c>
      <c r="C9" s="8" t="n">
        <v>8</v>
      </c>
      <c r="D9" s="8" t="n">
        <v>8</v>
      </c>
      <c r="E9" s="10" t="n">
        <v>6.13</v>
      </c>
      <c r="F9" s="10" t="n">
        <v>240.74</v>
      </c>
      <c r="G9" s="13" t="n">
        <v>22051</v>
      </c>
      <c r="H9" s="15" t="n">
        <f aca="false">G9/F9</f>
        <v>91.596743374595</v>
      </c>
      <c r="I9" s="10" t="n">
        <f aca="false">$F$6/F9</f>
        <v>1.09977569161751</v>
      </c>
      <c r="J9" s="10" t="n">
        <v>99.72</v>
      </c>
      <c r="K9" s="22" t="n">
        <v>9851.83</v>
      </c>
      <c r="L9" s="23" t="n">
        <v>480</v>
      </c>
      <c r="M9" s="15" t="n">
        <v>32.3</v>
      </c>
      <c r="N9" s="10" t="n">
        <f aca="false">$M$6/M9</f>
        <v>1.77708978328173</v>
      </c>
      <c r="O9" s="23" t="n">
        <v>349</v>
      </c>
      <c r="P9" s="13" t="n">
        <v>2744</v>
      </c>
      <c r="Q9" s="13" t="n">
        <v>2770</v>
      </c>
    </row>
    <row r="10" customFormat="false" ht="15" hidden="false" customHeight="false" outlineLevel="0" collapsed="false">
      <c r="B10" s="16" t="s">
        <v>302</v>
      </c>
      <c r="C10" s="16"/>
      <c r="D10" s="16"/>
      <c r="E10" s="20" t="n">
        <f aca="false">AVERAGE(E6:E9)</f>
        <v>3.0525</v>
      </c>
      <c r="F10" s="20" t="n">
        <f aca="false">AVERAGE(F6:F9)</f>
        <v>262.42</v>
      </c>
      <c r="G10" s="16"/>
      <c r="H10" s="19" t="n">
        <f aca="false">AVERAGE(H6:H9)</f>
        <v>84.2788700780301</v>
      </c>
      <c r="I10" s="20" t="n">
        <f aca="false">AVERAGE(I6:I9)</f>
        <v>1.01191209658788</v>
      </c>
      <c r="J10" s="20" t="n">
        <f aca="false">AVERAGE(J6:J9)</f>
        <v>72.44</v>
      </c>
      <c r="K10" s="24" t="n">
        <f aca="false">AVERAGE(K6:K9)</f>
        <v>7789.335</v>
      </c>
      <c r="L10" s="16"/>
      <c r="M10" s="19" t="n">
        <f aca="false">AVERAGE(M6:M9)</f>
        <v>48.55</v>
      </c>
      <c r="N10" s="16"/>
      <c r="O10" s="16"/>
      <c r="P10" s="16"/>
      <c r="Q10" s="16"/>
    </row>
    <row r="11" customFormat="false" ht="15" hidden="false" customHeight="false" outlineLevel="0" collapsed="false">
      <c r="B11" s="16" t="s">
        <v>303</v>
      </c>
      <c r="C11" s="16"/>
      <c r="D11" s="16"/>
      <c r="E11" s="20" t="n">
        <f aca="false">MIN(E6:E9)</f>
        <v>0.01</v>
      </c>
      <c r="F11" s="20" t="n">
        <f aca="false">MIN(F6:F9)</f>
        <v>240.74</v>
      </c>
      <c r="G11" s="16"/>
      <c r="H11" s="19" t="n">
        <f aca="false">MIN(H6:H9)</f>
        <v>78.6833184656557</v>
      </c>
      <c r="I11" s="20" t="n">
        <f aca="false">MIN(I6:I9)</f>
        <v>0.944727921498662</v>
      </c>
      <c r="J11" s="20" t="n">
        <f aca="false">MIN(J6:J9)</f>
        <v>62.87</v>
      </c>
      <c r="K11" s="24" t="n">
        <f aca="false">MIN(K6:K9)</f>
        <v>6195.38</v>
      </c>
      <c r="L11" s="16"/>
      <c r="M11" s="19" t="n">
        <f aca="false">MIN(M6:M9)</f>
        <v>32.3</v>
      </c>
      <c r="N11" s="16"/>
      <c r="O11" s="16"/>
      <c r="P11" s="16"/>
      <c r="Q11" s="16"/>
    </row>
    <row r="12" customFormat="false" ht="15" hidden="false" customHeight="false" outlineLevel="0" collapsed="false">
      <c r="B12" s="16" t="s">
        <v>304</v>
      </c>
      <c r="C12" s="16"/>
      <c r="D12" s="16"/>
      <c r="E12" s="20" t="n">
        <f aca="false">MAX(E6:E9)</f>
        <v>6.13</v>
      </c>
      <c r="F12" s="20" t="n">
        <f aca="false">MAX(F6:F9)</f>
        <v>280.25</v>
      </c>
      <c r="G12" s="16"/>
      <c r="H12" s="19" t="n">
        <f aca="false">MAX(H6:H9)</f>
        <v>91.596743374595</v>
      </c>
      <c r="I12" s="20" t="n">
        <f aca="false">MAX(I6:I9)</f>
        <v>1.09977569161751</v>
      </c>
      <c r="J12" s="20" t="n">
        <f aca="false">MAX(J6:J9)</f>
        <v>99.72</v>
      </c>
      <c r="K12" s="24" t="n">
        <f aca="false">MAX(K6:K9)</f>
        <v>9851.83</v>
      </c>
      <c r="L12" s="16"/>
      <c r="M12" s="19" t="n">
        <f aca="false">MAX(M6:M9)</f>
        <v>57.4</v>
      </c>
      <c r="N12" s="16"/>
      <c r="O12" s="16"/>
      <c r="P12" s="16"/>
      <c r="Q12" s="16"/>
    </row>
    <row r="13" customFormat="false" ht="31.5" hidden="false" customHeight="true" outlineLevel="0" collapsed="false">
      <c r="B13" s="16" t="s">
        <v>305</v>
      </c>
      <c r="C13" s="16"/>
      <c r="D13" s="16"/>
      <c r="E13" s="16"/>
      <c r="F13" s="18" t="n">
        <f aca="false">(F12-F11)/F11</f>
        <v>0.164118966519897</v>
      </c>
    </row>
    <row r="15" customFormat="false" ht="15" hidden="false" customHeight="false" outlineLevel="0" collapsed="false">
      <c r="B15" s="3" t="s">
        <v>306</v>
      </c>
    </row>
    <row r="16" customFormat="false" ht="31.5" hidden="false" customHeight="true" outlineLevel="0" collapsed="false">
      <c r="B16" s="4" t="s">
        <v>19</v>
      </c>
      <c r="C16" s="4" t="s">
        <v>307</v>
      </c>
      <c r="D16" s="4" t="s">
        <v>308</v>
      </c>
      <c r="E16" s="4" t="s">
        <v>200</v>
      </c>
      <c r="F16" s="4" t="s">
        <v>309</v>
      </c>
      <c r="G16" s="4" t="s">
        <v>310</v>
      </c>
    </row>
    <row r="17" customFormat="false" ht="15" hidden="false" customHeight="false" outlineLevel="0" collapsed="false">
      <c r="B17" s="8" t="s">
        <v>298</v>
      </c>
      <c r="C17" s="13" t="n">
        <v>18390</v>
      </c>
      <c r="D17" s="13" t="n">
        <v>3661</v>
      </c>
      <c r="E17" s="13" t="n">
        <f aca="false">C17+D17</f>
        <v>22051</v>
      </c>
      <c r="F17" s="7" t="n">
        <f aca="false">D17/E17</f>
        <v>0.166024216588817</v>
      </c>
      <c r="G17" s="8" t="str">
        <f aca="false">IF(E17=G6,"Sesuai","Tidak sesuai")</f>
        <v>Sesuai</v>
      </c>
    </row>
    <row r="18" customFormat="false" ht="15" hidden="false" customHeight="false" outlineLevel="0" collapsed="false">
      <c r="B18" s="8" t="s">
        <v>299</v>
      </c>
      <c r="C18" s="13" t="n">
        <v>18390</v>
      </c>
      <c r="D18" s="13" t="n">
        <v>3661</v>
      </c>
      <c r="E18" s="13" t="n">
        <f aca="false">C18+D18</f>
        <v>22051</v>
      </c>
      <c r="F18" s="7" t="n">
        <f aca="false">D18/E18</f>
        <v>0.166024216588817</v>
      </c>
      <c r="G18" s="8" t="str">
        <f aca="false">IF(E18=G7,"Sesuai","Tidak sesuai")</f>
        <v>Sesuai</v>
      </c>
    </row>
    <row r="19" customFormat="false" ht="15" hidden="false" customHeight="false" outlineLevel="0" collapsed="false">
      <c r="B19" s="8" t="s">
        <v>300</v>
      </c>
      <c r="C19" s="13" t="n">
        <v>18390</v>
      </c>
      <c r="D19" s="13" t="n">
        <v>3661</v>
      </c>
      <c r="E19" s="13" t="n">
        <f aca="false">C19+D19</f>
        <v>22051</v>
      </c>
      <c r="F19" s="7" t="n">
        <f aca="false">D19/E19</f>
        <v>0.166024216588817</v>
      </c>
      <c r="G19" s="8" t="str">
        <f aca="false">IF(E19=G8,"Sesuai","Tidak sesuai")</f>
        <v>Sesuai</v>
      </c>
    </row>
    <row r="20" customFormat="false" ht="15" hidden="false" customHeight="false" outlineLevel="0" collapsed="false">
      <c r="B20" s="8" t="s">
        <v>301</v>
      </c>
      <c r="C20" s="13" t="n">
        <v>18390</v>
      </c>
      <c r="D20" s="13" t="n">
        <v>3661</v>
      </c>
      <c r="E20" s="13" t="n">
        <f aca="false">C20+D20</f>
        <v>22051</v>
      </c>
      <c r="F20" s="7" t="n">
        <f aca="false">D20/E20</f>
        <v>0.166024216588817</v>
      </c>
      <c r="G20" s="8" t="str">
        <f aca="false">IF(E20=G9,"Sesuai","Tidak sesuai")</f>
        <v>Sesuai</v>
      </c>
    </row>
    <row r="22" customFormat="false" ht="15" hidden="false" customHeight="false" outlineLevel="0" collapsed="false">
      <c r="B22" s="3" t="s">
        <v>311</v>
      </c>
    </row>
    <row r="23" customFormat="false" ht="15" hidden="false" customHeight="false" outlineLevel="0" collapsed="false">
      <c r="B23" s="25" t="s">
        <v>312</v>
      </c>
    </row>
    <row r="24" customFormat="false" ht="15" hidden="false" customHeight="false" outlineLevel="0" collapsed="false">
      <c r="B24" s="25" t="s">
        <v>313</v>
      </c>
    </row>
    <row r="25" customFormat="false" ht="15" hidden="false" customHeight="false" outlineLevel="0" collapsed="false">
      <c r="B25" s="25" t="s">
        <v>314</v>
      </c>
    </row>
    <row r="26" customFormat="false" ht="15" hidden="false" customHeight="false" outlineLevel="0" collapsed="false">
      <c r="B26" s="25" t="s">
        <v>315</v>
      </c>
    </row>
    <row r="27" customFormat="false" ht="15" hidden="false" customHeight="false" outlineLevel="0" collapsed="false">
      <c r="B27" s="25" t="s">
        <v>316</v>
      </c>
    </row>
    <row r="28" customFormat="false" ht="15" hidden="false" customHeight="false" outlineLevel="0" collapsed="false">
      <c r="B28" s="25" t="s">
        <v>317</v>
      </c>
    </row>
    <row r="29" customFormat="false" ht="15" hidden="false" customHeight="false" outlineLevel="0" collapsed="false">
      <c r="B29" s="25" t="s">
        <v>318</v>
      </c>
    </row>
  </sheetData>
  <mergeCells count="1">
    <mergeCell ref="B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8" min="5" style="0" width="13"/>
    <col collapsed="false" customWidth="true" hidden="false" outlineLevel="0" max="13" min="9" style="0" width="14"/>
    <col collapsed="false" customWidth="true" hidden="false" outlineLevel="0" max="14" min="14" style="0" width="10"/>
  </cols>
  <sheetData>
    <row r="2" customFormat="false" ht="24" hidden="false" customHeight="true" outlineLevel="0" collapsed="false">
      <c r="B2" s="1" t="s">
        <v>319</v>
      </c>
    </row>
    <row r="3" customFormat="false" ht="15" hidden="false" customHeight="false" outlineLevel="0" collapsed="false">
      <c r="B3" s="2" t="s">
        <v>320</v>
      </c>
    </row>
    <row r="5" customFormat="false" ht="36" hidden="false" customHeight="true" outlineLevel="0" collapsed="false">
      <c r="B5" s="4" t="s">
        <v>19</v>
      </c>
      <c r="C5" s="4" t="s">
        <v>284</v>
      </c>
      <c r="D5" s="4" t="s">
        <v>285</v>
      </c>
      <c r="E5" s="4" t="s">
        <v>321</v>
      </c>
      <c r="F5" s="4" t="s">
        <v>176</v>
      </c>
      <c r="G5" s="4" t="s">
        <v>178</v>
      </c>
      <c r="H5" s="4" t="s">
        <v>322</v>
      </c>
      <c r="I5" s="4" t="s">
        <v>323</v>
      </c>
      <c r="J5" s="4" t="s">
        <v>324</v>
      </c>
      <c r="K5" s="4" t="s">
        <v>325</v>
      </c>
      <c r="L5" s="4" t="s">
        <v>326</v>
      </c>
      <c r="M5" s="4" t="s">
        <v>327</v>
      </c>
      <c r="N5" s="4" t="s">
        <v>328</v>
      </c>
    </row>
    <row r="6" customFormat="false" ht="15" hidden="false" customHeight="false" outlineLevel="0" collapsed="false">
      <c r="B6" s="8" t="s">
        <v>298</v>
      </c>
      <c r="C6" s="8" t="n">
        <v>2</v>
      </c>
      <c r="D6" s="8" t="n">
        <v>2</v>
      </c>
      <c r="E6" s="7" t="n">
        <v>0.6754</v>
      </c>
      <c r="F6" s="9" t="n">
        <v>0.6026</v>
      </c>
      <c r="G6" s="9" t="n">
        <v>0.8424</v>
      </c>
      <c r="H6" s="9" t="n">
        <v>1.6159</v>
      </c>
      <c r="I6" s="7" t="n">
        <f aca="false">SUMIFS('Log Training'!$D$6:$D$45,'Log Training'!$B$6:$B$45,$B6,'Log Training'!$C$6:$C$45,10)</f>
        <v>0.6437</v>
      </c>
      <c r="J6" s="7" t="n">
        <f aca="false">SUMIFS('Log Training'!$F$6:$F$45,'Log Training'!$B$6:$B$45,$B6,'Log Training'!$C$6:$C$45,10)</f>
        <v>0.6743</v>
      </c>
      <c r="K6" s="7" t="n">
        <f aca="false">I6-J6</f>
        <v>-0.0306</v>
      </c>
      <c r="L6" s="10" t="n">
        <v>618.16</v>
      </c>
      <c r="M6" s="10" t="n">
        <f aca="false">L6/60</f>
        <v>10.3026666666667</v>
      </c>
      <c r="N6" s="23" t="n">
        <v>10</v>
      </c>
    </row>
    <row r="7" customFormat="false" ht="15" hidden="false" customHeight="false" outlineLevel="0" collapsed="false">
      <c r="B7" s="8" t="s">
        <v>299</v>
      </c>
      <c r="C7" s="8" t="n">
        <v>2</v>
      </c>
      <c r="D7" s="8" t="n">
        <v>8</v>
      </c>
      <c r="E7" s="7" t="n">
        <v>0.65</v>
      </c>
      <c r="F7" s="9" t="n">
        <v>0.5823</v>
      </c>
      <c r="G7" s="9" t="n">
        <v>0.8362</v>
      </c>
      <c r="H7" s="9" t="n">
        <v>1.6219</v>
      </c>
      <c r="I7" s="7" t="n">
        <f aca="false">SUMIFS('Log Training'!$D$6:$D$45,'Log Training'!$B$6:$B$45,$B7,'Log Training'!$C$6:$C$45,10)</f>
        <v>0.6384</v>
      </c>
      <c r="J7" s="7" t="n">
        <f aca="false">SUMIFS('Log Training'!$F$6:$F$45,'Log Training'!$B$6:$B$45,$B7,'Log Training'!$C$6:$C$45,10)</f>
        <v>0.646</v>
      </c>
      <c r="K7" s="7" t="n">
        <f aca="false">I7-J7</f>
        <v>-0.00760000000000005</v>
      </c>
      <c r="L7" s="10" t="n">
        <v>615.77</v>
      </c>
      <c r="M7" s="10" t="n">
        <f aca="false">L7/60</f>
        <v>10.2628333333333</v>
      </c>
      <c r="N7" s="23" t="n">
        <v>10</v>
      </c>
    </row>
    <row r="8" customFormat="false" ht="15" hidden="false" customHeight="false" outlineLevel="0" collapsed="false">
      <c r="B8" s="8" t="s">
        <v>300</v>
      </c>
      <c r="C8" s="8" t="n">
        <v>8</v>
      </c>
      <c r="D8" s="8" t="n">
        <v>2</v>
      </c>
      <c r="E8" s="7" t="n">
        <v>0.6378</v>
      </c>
      <c r="F8" s="9" t="n">
        <v>0.5723</v>
      </c>
      <c r="G8" s="9" t="n">
        <v>0.8318</v>
      </c>
      <c r="H8" s="9" t="n">
        <v>1.634</v>
      </c>
      <c r="I8" s="7" t="n">
        <f aca="false">SUMIFS('Log Training'!$D$6:$D$45,'Log Training'!$B$6:$B$45,$B8,'Log Training'!$C$6:$C$45,10)</f>
        <v>0.6448</v>
      </c>
      <c r="J8" s="7" t="n">
        <f aca="false">SUMIFS('Log Training'!$F$6:$F$45,'Log Training'!$B$6:$B$45,$B8,'Log Training'!$C$6:$C$45,10)</f>
        <v>0.6505</v>
      </c>
      <c r="K8" s="7" t="n">
        <f aca="false">I8-J8</f>
        <v>-0.00569999999999993</v>
      </c>
      <c r="L8" s="10" t="n">
        <v>619.81</v>
      </c>
      <c r="M8" s="10" t="n">
        <f aca="false">L8/60</f>
        <v>10.3301666666667</v>
      </c>
      <c r="N8" s="23" t="n">
        <v>10</v>
      </c>
    </row>
    <row r="9" customFormat="false" ht="15" hidden="false" customHeight="false" outlineLevel="0" collapsed="false">
      <c r="B9" s="8" t="s">
        <v>301</v>
      </c>
      <c r="C9" s="8" t="n">
        <v>8</v>
      </c>
      <c r="D9" s="8" t="n">
        <v>8</v>
      </c>
      <c r="E9" s="7" t="n">
        <v>0.6246</v>
      </c>
      <c r="F9" s="9" t="n">
        <v>0.5703</v>
      </c>
      <c r="G9" s="9" t="n">
        <v>0.8331</v>
      </c>
      <c r="H9" s="9" t="n">
        <v>1.6663</v>
      </c>
      <c r="I9" s="7" t="n">
        <f aca="false">SUMIFS('Log Training'!$D$6:$D$45,'Log Training'!$B$6:$B$45,$B9,'Log Training'!$C$6:$C$45,10)</f>
        <v>0.6402</v>
      </c>
      <c r="J9" s="7" t="n">
        <f aca="false">SUMIFS('Log Training'!$F$6:$F$45,'Log Training'!$B$6:$B$45,$B9,'Log Training'!$C$6:$C$45,10)</f>
        <v>0.6168</v>
      </c>
      <c r="K9" s="7" t="n">
        <f aca="false">I9-J9</f>
        <v>0.0234</v>
      </c>
      <c r="L9" s="10" t="n">
        <v>620.11</v>
      </c>
      <c r="M9" s="10" t="n">
        <f aca="false">L9/60</f>
        <v>10.3351666666667</v>
      </c>
      <c r="N9" s="23" t="n">
        <v>10</v>
      </c>
    </row>
    <row r="10" customFormat="false" ht="15" hidden="false" customHeight="false" outlineLevel="0" collapsed="false">
      <c r="B10" s="16" t="s">
        <v>302</v>
      </c>
      <c r="C10" s="16"/>
      <c r="D10" s="16"/>
      <c r="E10" s="26" t="n">
        <f aca="false">AVERAGE(E6:E9)</f>
        <v>0.64695</v>
      </c>
      <c r="F10" s="27" t="n">
        <f aca="false">AVERAGE(F6:F9)</f>
        <v>0.581875</v>
      </c>
      <c r="G10" s="27" t="n">
        <f aca="false">AVERAGE(G6:G9)</f>
        <v>0.835875</v>
      </c>
      <c r="H10" s="27" t="n">
        <f aca="false">AVERAGE(H6:H9)</f>
        <v>1.634525</v>
      </c>
      <c r="I10" s="26" t="n">
        <f aca="false">AVERAGE(I6:I9)</f>
        <v>0.641775</v>
      </c>
      <c r="J10" s="26" t="n">
        <f aca="false">AVERAGE(J6:J9)</f>
        <v>0.6469</v>
      </c>
      <c r="K10" s="26" t="n">
        <f aca="false">AVERAGE(K6:K9)</f>
        <v>-0.00512499999999999</v>
      </c>
      <c r="L10" s="20" t="n">
        <f aca="false">AVERAGE(L6:L9)</f>
        <v>618.4625</v>
      </c>
      <c r="M10" s="20" t="n">
        <f aca="false">AVERAGE(M6:M9)</f>
        <v>10.3077083333333</v>
      </c>
      <c r="N10" s="16"/>
    </row>
    <row r="11" customFormat="false" ht="15" hidden="false" customHeight="false" outlineLevel="0" collapsed="false">
      <c r="B11" s="16" t="s">
        <v>329</v>
      </c>
      <c r="C11" s="16"/>
      <c r="D11" s="16"/>
      <c r="E11" s="26" t="n">
        <f aca="false">MAX(E6:E9)</f>
        <v>0.6754</v>
      </c>
      <c r="F11" s="27" t="n">
        <f aca="false">MAX(F6:F9)</f>
        <v>0.6026</v>
      </c>
      <c r="G11" s="27" t="n">
        <f aca="false">MAX(G6:G9)</f>
        <v>0.8424</v>
      </c>
      <c r="H11" s="27" t="n">
        <f aca="false">MAX(H6:H9)</f>
        <v>1.6663</v>
      </c>
      <c r="I11" s="26" t="n">
        <f aca="false">MAX(I6:I9)</f>
        <v>0.6448</v>
      </c>
      <c r="J11" s="26" t="n">
        <f aca="false">MAX(J6:J9)</f>
        <v>0.6743</v>
      </c>
      <c r="K11" s="26" t="n">
        <f aca="false">MAX(K6:K9)</f>
        <v>0.0234</v>
      </c>
      <c r="L11" s="20" t="n">
        <f aca="false">MAX(L6:L9)</f>
        <v>620.11</v>
      </c>
      <c r="M11" s="20" t="n">
        <f aca="false">MAX(M6:M9)</f>
        <v>10.3351666666667</v>
      </c>
      <c r="N11" s="16"/>
    </row>
    <row r="12" customFormat="false" ht="15" hidden="false" customHeight="false" outlineLevel="0" collapsed="false">
      <c r="B12" s="16" t="s">
        <v>330</v>
      </c>
      <c r="C12" s="16"/>
      <c r="D12" s="16"/>
      <c r="E12" s="26" t="n">
        <f aca="false">MIN(E6:E9)</f>
        <v>0.6246</v>
      </c>
      <c r="F12" s="27" t="n">
        <f aca="false">MIN(F6:F9)</f>
        <v>0.5703</v>
      </c>
      <c r="G12" s="27" t="n">
        <f aca="false">MIN(G6:G9)</f>
        <v>0.8318</v>
      </c>
      <c r="H12" s="27" t="n">
        <f aca="false">MIN(H6:H9)</f>
        <v>1.6159</v>
      </c>
      <c r="I12" s="26" t="n">
        <f aca="false">MIN(I6:I9)</f>
        <v>0.6384</v>
      </c>
      <c r="J12" s="26" t="n">
        <f aca="false">MIN(J6:J9)</f>
        <v>0.6168</v>
      </c>
      <c r="K12" s="26" t="n">
        <f aca="false">MIN(K6:K9)</f>
        <v>-0.0306</v>
      </c>
      <c r="L12" s="20" t="n">
        <f aca="false">MIN(L6:L9)</f>
        <v>615.77</v>
      </c>
      <c r="M12" s="20" t="n">
        <f aca="false">MIN(M6:M9)</f>
        <v>10.2628333333333</v>
      </c>
      <c r="N12" s="16"/>
    </row>
    <row r="13" customFormat="false" ht="15" hidden="false" customHeight="false" outlineLevel="0" collapsed="false">
      <c r="B13" s="16" t="s">
        <v>331</v>
      </c>
      <c r="C13" s="16"/>
      <c r="D13" s="16"/>
      <c r="E13" s="26" t="n">
        <f aca="false">MAX(E6:E9)-MIN(E6:E9)</f>
        <v>0.0508</v>
      </c>
      <c r="F13" s="27" t="n">
        <f aca="false">MAX(F6:F9)-MIN(F6:F9)</f>
        <v>0.0323</v>
      </c>
      <c r="G13" s="27" t="n">
        <f aca="false">MAX(G6:G9)-MIN(G6:G9)</f>
        <v>0.0106000000000001</v>
      </c>
      <c r="H13" s="27" t="n">
        <f aca="false">MAX(H6:H9)-MIN(H6:H9)</f>
        <v>0.0504</v>
      </c>
      <c r="I13" s="26" t="n">
        <f aca="false">MAX(I6:I9)-MIN(I6:I9)</f>
        <v>0.00640000000000007</v>
      </c>
      <c r="J13" s="26" t="n">
        <f aca="false">MAX(J6:J9)-MIN(J6:J9)</f>
        <v>0.0575</v>
      </c>
      <c r="K13" s="26" t="n">
        <f aca="false">MAX(K6:K9)-MIN(K6:K9)</f>
        <v>0.0539999999999999</v>
      </c>
      <c r="L13" s="20" t="n">
        <f aca="false">MAX(L6:L9)-MIN(L6:L9)</f>
        <v>4.34000000000003</v>
      </c>
      <c r="M13" s="20" t="n">
        <f aca="false">MAX(M6:M9)-MIN(M6:M9)</f>
        <v>0.0723333333333347</v>
      </c>
      <c r="N13" s="16"/>
    </row>
    <row r="15" customFormat="false" ht="15" hidden="false" customHeight="false" outlineLevel="0" collapsed="false">
      <c r="B15" s="3" t="s">
        <v>311</v>
      </c>
    </row>
    <row r="16" customFormat="false" ht="15" hidden="false" customHeight="false" outlineLevel="0" collapsed="false">
      <c r="B16" s="25" t="s">
        <v>332</v>
      </c>
    </row>
    <row r="17" customFormat="false" ht="15" hidden="false" customHeight="false" outlineLevel="0" collapsed="false">
      <c r="B17" s="25" t="s">
        <v>333</v>
      </c>
    </row>
    <row r="18" customFormat="false" ht="15" hidden="false" customHeight="false" outlineLevel="0" collapsed="false">
      <c r="B18" s="25" t="s">
        <v>334</v>
      </c>
    </row>
    <row r="19" customFormat="false" ht="15" hidden="false" customHeight="false" outlineLevel="0" collapsed="false">
      <c r="B19" s="25" t="s">
        <v>335</v>
      </c>
    </row>
    <row r="20" customFormat="false" ht="15" hidden="false" customHeight="false" outlineLevel="0" collapsed="false">
      <c r="B20" s="25" t="s">
        <v>336</v>
      </c>
    </row>
  </sheetData>
  <conditionalFormatting sqref="E6:E9">
    <cfRule type="expression" priority="2" aboveAverage="0" equalAverage="0" bottom="0" percent="0" rank="0" text="" dxfId="0">
      <formula>E6=MAX(E$6:E$9)</formula>
    </cfRule>
  </conditionalFormatting>
  <conditionalFormatting sqref="F6:F9">
    <cfRule type="expression" priority="3" aboveAverage="0" equalAverage="0" bottom="0" percent="0" rank="0" text="" dxfId="0">
      <formula>F6=MAX(F$6:F$9)</formula>
    </cfRule>
  </conditionalFormatting>
  <conditionalFormatting sqref="G6:G9">
    <cfRule type="expression" priority="4" aboveAverage="0" equalAverage="0" bottom="0" percent="0" rank="0" text="" dxfId="0">
      <formula>G6=MAX(G$6:G$9)</formula>
    </cfRule>
  </conditionalFormatting>
  <conditionalFormatting sqref="H6:H9">
    <cfRule type="expression" priority="5" aboveAverage="0" equalAverage="0" bottom="0" percent="0" rank="0" text="" dxfId="0">
      <formula>H6=MIN(H$6:H$9)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7" min="4" style="0" width="12"/>
  </cols>
  <sheetData>
    <row r="2" customFormat="false" ht="24" hidden="false" customHeight="true" outlineLevel="0" collapsed="false">
      <c r="B2" s="1" t="s">
        <v>337</v>
      </c>
    </row>
    <row r="3" customFormat="false" ht="15" hidden="false" customHeight="false" outlineLevel="0" collapsed="false">
      <c r="B3" s="2" t="s">
        <v>338</v>
      </c>
    </row>
    <row r="5" customFormat="false" ht="21" hidden="false" customHeight="true" outlineLevel="0" collapsed="false">
      <c r="B5" s="4" t="s">
        <v>19</v>
      </c>
      <c r="C5" s="4" t="s">
        <v>7</v>
      </c>
      <c r="D5" s="4" t="s">
        <v>339</v>
      </c>
      <c r="E5" s="4" t="s">
        <v>340</v>
      </c>
      <c r="F5" s="4" t="s">
        <v>341</v>
      </c>
      <c r="G5" s="4" t="s">
        <v>342</v>
      </c>
    </row>
    <row r="6" customFormat="false" ht="15" hidden="false" customHeight="false" outlineLevel="0" collapsed="false">
      <c r="B6" s="8" t="s">
        <v>298</v>
      </c>
      <c r="C6" s="6" t="s">
        <v>196</v>
      </c>
      <c r="D6" s="10" t="n">
        <v>0.6</v>
      </c>
      <c r="E6" s="10" t="n">
        <v>0.53</v>
      </c>
      <c r="F6" s="10" t="n">
        <v>0.56</v>
      </c>
      <c r="G6" s="13" t="n">
        <v>543</v>
      </c>
    </row>
    <row r="7" customFormat="false" ht="15" hidden="false" customHeight="false" outlineLevel="0" collapsed="false">
      <c r="B7" s="8" t="s">
        <v>298</v>
      </c>
      <c r="C7" s="6" t="s">
        <v>194</v>
      </c>
      <c r="D7" s="10" t="n">
        <v>0.87</v>
      </c>
      <c r="E7" s="10" t="n">
        <v>0.73</v>
      </c>
      <c r="F7" s="10" t="n">
        <v>0.79</v>
      </c>
      <c r="G7" s="13" t="n">
        <v>1391</v>
      </c>
    </row>
    <row r="8" customFormat="false" ht="15" hidden="false" customHeight="false" outlineLevel="0" collapsed="false">
      <c r="B8" s="8" t="s">
        <v>298</v>
      </c>
      <c r="C8" s="6" t="s">
        <v>198</v>
      </c>
      <c r="D8" s="10" t="n">
        <v>0.33</v>
      </c>
      <c r="E8" s="10" t="n">
        <v>0.7</v>
      </c>
      <c r="F8" s="10" t="n">
        <v>0.45</v>
      </c>
      <c r="G8" s="13" t="n">
        <v>269</v>
      </c>
    </row>
    <row r="9" customFormat="false" ht="15" hidden="false" customHeight="false" outlineLevel="0" collapsed="false">
      <c r="B9" s="8" t="s">
        <v>299</v>
      </c>
      <c r="C9" s="6" t="s">
        <v>196</v>
      </c>
      <c r="D9" s="10" t="n">
        <v>0.58</v>
      </c>
      <c r="E9" s="10" t="n">
        <v>0.51</v>
      </c>
      <c r="F9" s="10" t="n">
        <v>0.54</v>
      </c>
      <c r="G9" s="13" t="n">
        <v>543</v>
      </c>
    </row>
    <row r="10" customFormat="false" ht="15" hidden="false" customHeight="false" outlineLevel="0" collapsed="false">
      <c r="B10" s="8" t="s">
        <v>299</v>
      </c>
      <c r="C10" s="6" t="s">
        <v>194</v>
      </c>
      <c r="D10" s="10" t="n">
        <v>0.9</v>
      </c>
      <c r="E10" s="10" t="n">
        <v>0.69</v>
      </c>
      <c r="F10" s="10" t="n">
        <v>0.78</v>
      </c>
      <c r="G10" s="13" t="n">
        <v>1391</v>
      </c>
    </row>
    <row r="11" customFormat="false" ht="15" hidden="false" customHeight="false" outlineLevel="0" collapsed="false">
      <c r="B11" s="8" t="s">
        <v>299</v>
      </c>
      <c r="C11" s="6" t="s">
        <v>198</v>
      </c>
      <c r="D11" s="10" t="n">
        <v>0.3</v>
      </c>
      <c r="E11" s="10" t="n">
        <v>0.73</v>
      </c>
      <c r="F11" s="10" t="n">
        <v>0.43</v>
      </c>
      <c r="G11" s="13" t="n">
        <v>269</v>
      </c>
    </row>
    <row r="12" customFormat="false" ht="15" hidden="false" customHeight="false" outlineLevel="0" collapsed="false">
      <c r="B12" s="8" t="s">
        <v>300</v>
      </c>
      <c r="C12" s="6" t="s">
        <v>196</v>
      </c>
      <c r="D12" s="10" t="n">
        <v>0.55</v>
      </c>
      <c r="E12" s="10" t="n">
        <v>0.52</v>
      </c>
      <c r="F12" s="10" t="n">
        <v>0.53</v>
      </c>
      <c r="G12" s="13" t="n">
        <v>543</v>
      </c>
    </row>
    <row r="13" customFormat="false" ht="15" hidden="false" customHeight="false" outlineLevel="0" collapsed="false">
      <c r="B13" s="8" t="s">
        <v>300</v>
      </c>
      <c r="C13" s="6" t="s">
        <v>194</v>
      </c>
      <c r="D13" s="10" t="n">
        <v>0.87</v>
      </c>
      <c r="E13" s="10" t="n">
        <v>0.67</v>
      </c>
      <c r="F13" s="10" t="n">
        <v>0.76</v>
      </c>
      <c r="G13" s="13" t="n">
        <v>1391</v>
      </c>
    </row>
    <row r="14" customFormat="false" ht="15" hidden="false" customHeight="false" outlineLevel="0" collapsed="false">
      <c r="B14" s="8" t="s">
        <v>300</v>
      </c>
      <c r="C14" s="6" t="s">
        <v>198</v>
      </c>
      <c r="D14" s="10" t="n">
        <v>0.31</v>
      </c>
      <c r="E14" s="10" t="n">
        <v>0.7</v>
      </c>
      <c r="F14" s="10" t="n">
        <v>0.42</v>
      </c>
      <c r="G14" s="13" t="n">
        <v>269</v>
      </c>
    </row>
    <row r="15" customFormat="false" ht="15" hidden="false" customHeight="false" outlineLevel="0" collapsed="false">
      <c r="B15" s="8" t="s">
        <v>301</v>
      </c>
      <c r="C15" s="6" t="s">
        <v>196</v>
      </c>
      <c r="D15" s="10" t="n">
        <v>0.52</v>
      </c>
      <c r="E15" s="10" t="n">
        <v>0.57</v>
      </c>
      <c r="F15" s="10" t="n">
        <v>0.55</v>
      </c>
      <c r="G15" s="13" t="n">
        <v>543</v>
      </c>
    </row>
    <row r="16" customFormat="false" ht="15" hidden="false" customHeight="false" outlineLevel="0" collapsed="false">
      <c r="B16" s="8" t="s">
        <v>301</v>
      </c>
      <c r="C16" s="6" t="s">
        <v>194</v>
      </c>
      <c r="D16" s="10" t="n">
        <v>0.91</v>
      </c>
      <c r="E16" s="10" t="n">
        <v>0.63</v>
      </c>
      <c r="F16" s="10" t="n">
        <v>0.74</v>
      </c>
      <c r="G16" s="13" t="n">
        <v>1391</v>
      </c>
    </row>
    <row r="17" customFormat="false" ht="15" hidden="false" customHeight="false" outlineLevel="0" collapsed="false">
      <c r="B17" s="8" t="s">
        <v>301</v>
      </c>
      <c r="C17" s="6" t="s">
        <v>198</v>
      </c>
      <c r="D17" s="10" t="n">
        <v>0.3</v>
      </c>
      <c r="E17" s="10" t="n">
        <v>0.73</v>
      </c>
      <c r="F17" s="10" t="n">
        <v>0.42</v>
      </c>
      <c r="G17" s="13" t="n">
        <v>269</v>
      </c>
    </row>
    <row r="19" customFormat="false" ht="15" hidden="false" customHeight="false" outlineLevel="0" collapsed="false">
      <c r="B19" s="3" t="s">
        <v>343</v>
      </c>
    </row>
    <row r="20" customFormat="false" ht="21" hidden="false" customHeight="true" outlineLevel="0" collapsed="false">
      <c r="B20" s="4"/>
      <c r="C20" s="4" t="s">
        <v>7</v>
      </c>
      <c r="D20" s="4" t="s">
        <v>339</v>
      </c>
      <c r="E20" s="4" t="s">
        <v>340</v>
      </c>
      <c r="F20" s="4" t="s">
        <v>341</v>
      </c>
      <c r="G20" s="4" t="s">
        <v>342</v>
      </c>
    </row>
    <row r="21" customFormat="false" ht="15" hidden="false" customHeight="false" outlineLevel="0" collapsed="false">
      <c r="B21" s="21" t="s">
        <v>302</v>
      </c>
      <c r="C21" s="16" t="s">
        <v>196</v>
      </c>
      <c r="D21" s="20" t="n">
        <f aca="false">AVERAGEIFS(D$6:D$17,$C$6:$C$17,$C21)</f>
        <v>0.5625</v>
      </c>
      <c r="E21" s="20" t="n">
        <f aca="false">AVERAGEIFS(E$6:E$17,$C$6:$C$17,$C21)</f>
        <v>0.5325</v>
      </c>
      <c r="F21" s="20" t="n">
        <f aca="false">AVERAGEIFS(F$6:F$17,$C$6:$C$17,$C21)</f>
        <v>0.545</v>
      </c>
      <c r="G21" s="17" t="n">
        <f aca="false">AVERAGEIFS(G$6:G$17,$C$6:$C$17,$C21)</f>
        <v>543</v>
      </c>
    </row>
    <row r="22" customFormat="false" ht="15" hidden="false" customHeight="false" outlineLevel="0" collapsed="false">
      <c r="B22" s="21" t="s">
        <v>302</v>
      </c>
      <c r="C22" s="16" t="s">
        <v>194</v>
      </c>
      <c r="D22" s="20" t="n">
        <f aca="false">AVERAGEIFS(D$6:D$17,$C$6:$C$17,$C22)</f>
        <v>0.8875</v>
      </c>
      <c r="E22" s="20" t="n">
        <f aca="false">AVERAGEIFS(E$6:E$17,$C$6:$C$17,$C22)</f>
        <v>0.68</v>
      </c>
      <c r="F22" s="20" t="n">
        <f aca="false">AVERAGEIFS(F$6:F$17,$C$6:$C$17,$C22)</f>
        <v>0.7675</v>
      </c>
      <c r="G22" s="17" t="n">
        <f aca="false">AVERAGEIFS(G$6:G$17,$C$6:$C$17,$C22)</f>
        <v>1391</v>
      </c>
    </row>
    <row r="23" customFormat="false" ht="15" hidden="false" customHeight="false" outlineLevel="0" collapsed="false">
      <c r="B23" s="21" t="s">
        <v>302</v>
      </c>
      <c r="C23" s="16" t="s">
        <v>198</v>
      </c>
      <c r="D23" s="20" t="n">
        <f aca="false">AVERAGEIFS(D$6:D$17,$C$6:$C$17,$C23)</f>
        <v>0.31</v>
      </c>
      <c r="E23" s="20" t="n">
        <f aca="false">AVERAGEIFS(E$6:E$17,$C$6:$C$17,$C23)</f>
        <v>0.715</v>
      </c>
      <c r="F23" s="20" t="n">
        <f aca="false">AVERAGEIFS(F$6:F$17,$C$6:$C$17,$C23)</f>
        <v>0.43</v>
      </c>
      <c r="G23" s="17" t="n">
        <f aca="false">AVERAGEIFS(G$6:G$17,$C$6:$C$17,$C23)</f>
        <v>269</v>
      </c>
    </row>
    <row r="25" customFormat="false" ht="15" hidden="false" customHeight="false" outlineLevel="0" collapsed="false">
      <c r="B25" s="12" t="s">
        <v>344</v>
      </c>
    </row>
  </sheetData>
  <conditionalFormatting sqref="F21:F23">
    <cfRule type="expression" priority="2" aboveAverage="0" equalAverage="0" bottom="0" percent="0" rank="0" text="" dxfId="0">
      <formula>F21=MAX(F$21:F$23)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14"/>
  </cols>
  <sheetData>
    <row r="2" customFormat="false" ht="24" hidden="false" customHeight="true" outlineLevel="0" collapsed="false">
      <c r="B2" s="1" t="s">
        <v>345</v>
      </c>
    </row>
    <row r="3" customFormat="false" ht="15" hidden="false" customHeight="false" outlineLevel="0" collapsed="false">
      <c r="B3" s="2" t="s">
        <v>346</v>
      </c>
    </row>
    <row r="5" customFormat="false" ht="15" hidden="false" customHeight="false" outlineLevel="0" collapsed="false">
      <c r="B5" s="3" t="s">
        <v>347</v>
      </c>
    </row>
    <row r="6" customFormat="false" ht="21" hidden="false" customHeight="true" outlineLevel="0" collapsed="false">
      <c r="B6" s="4" t="s">
        <v>348</v>
      </c>
      <c r="C6" s="4" t="s">
        <v>196</v>
      </c>
      <c r="D6" s="4" t="s">
        <v>194</v>
      </c>
      <c r="E6" s="4" t="s">
        <v>198</v>
      </c>
      <c r="F6" s="4" t="s">
        <v>349</v>
      </c>
    </row>
    <row r="7" customFormat="false" ht="15" hidden="false" customHeight="false" outlineLevel="0" collapsed="false">
      <c r="B7" s="6" t="s">
        <v>196</v>
      </c>
      <c r="C7" s="26" t="n">
        <v>0.5267</v>
      </c>
      <c r="D7" s="7" t="n">
        <v>0.1878</v>
      </c>
      <c r="E7" s="7" t="n">
        <v>0.2855</v>
      </c>
      <c r="F7" s="7" t="n">
        <f aca="false">SUM(C7:E7)</f>
        <v>1</v>
      </c>
    </row>
    <row r="8" customFormat="false" ht="15" hidden="false" customHeight="false" outlineLevel="0" collapsed="false">
      <c r="B8" s="6" t="s">
        <v>194</v>
      </c>
      <c r="C8" s="7" t="n">
        <v>0.1114</v>
      </c>
      <c r="D8" s="26" t="n">
        <v>0.7283</v>
      </c>
      <c r="E8" s="7" t="n">
        <v>0.1603</v>
      </c>
      <c r="F8" s="7" t="n">
        <f aca="false">SUM(C8:E8)</f>
        <v>1</v>
      </c>
    </row>
    <row r="9" customFormat="false" ht="15" hidden="false" customHeight="false" outlineLevel="0" collapsed="false">
      <c r="B9" s="6" t="s">
        <v>198</v>
      </c>
      <c r="C9" s="7" t="n">
        <v>0.1301</v>
      </c>
      <c r="D9" s="7" t="n">
        <v>0.1673</v>
      </c>
      <c r="E9" s="26" t="n">
        <v>0.7026</v>
      </c>
      <c r="F9" s="7" t="n">
        <f aca="false">SUM(C9:E9)</f>
        <v>1</v>
      </c>
    </row>
    <row r="12" customFormat="false" ht="15" hidden="false" customHeight="false" outlineLevel="0" collapsed="false">
      <c r="B12" s="3" t="s">
        <v>350</v>
      </c>
    </row>
    <row r="13" customFormat="false" ht="21" hidden="false" customHeight="true" outlineLevel="0" collapsed="false">
      <c r="B13" s="4" t="s">
        <v>348</v>
      </c>
      <c r="C13" s="4" t="s">
        <v>196</v>
      </c>
      <c r="D13" s="4" t="s">
        <v>194</v>
      </c>
      <c r="E13" s="4" t="s">
        <v>198</v>
      </c>
      <c r="F13" s="4" t="s">
        <v>349</v>
      </c>
    </row>
    <row r="14" customFormat="false" ht="15" hidden="false" customHeight="false" outlineLevel="0" collapsed="false">
      <c r="B14" s="6" t="s">
        <v>196</v>
      </c>
      <c r="C14" s="26" t="n">
        <v>0.512</v>
      </c>
      <c r="D14" s="7" t="n">
        <v>0.1455</v>
      </c>
      <c r="E14" s="7" t="n">
        <v>0.3425</v>
      </c>
      <c r="F14" s="7" t="n">
        <f aca="false">SUM(C14:E14)</f>
        <v>1</v>
      </c>
    </row>
    <row r="15" customFormat="false" ht="15" hidden="false" customHeight="false" outlineLevel="0" collapsed="false">
      <c r="B15" s="6" t="s">
        <v>194</v>
      </c>
      <c r="C15" s="7" t="n">
        <v>0.1186</v>
      </c>
      <c r="D15" s="26" t="n">
        <v>0.6887</v>
      </c>
      <c r="E15" s="7" t="n">
        <v>0.1927</v>
      </c>
      <c r="F15" s="7" t="n">
        <f aca="false">SUM(C15:E15)</f>
        <v>1</v>
      </c>
    </row>
    <row r="16" customFormat="false" ht="15" hidden="false" customHeight="false" outlineLevel="0" collapsed="false">
      <c r="B16" s="6" t="s">
        <v>198</v>
      </c>
      <c r="C16" s="7" t="n">
        <v>0.1487</v>
      </c>
      <c r="D16" s="7" t="n">
        <v>0.1227</v>
      </c>
      <c r="E16" s="26" t="n">
        <v>0.7286</v>
      </c>
      <c r="F16" s="7" t="n">
        <f aca="false">SUM(C16:E16)</f>
        <v>1</v>
      </c>
    </row>
    <row r="19" customFormat="false" ht="15" hidden="false" customHeight="false" outlineLevel="0" collapsed="false">
      <c r="B19" s="3" t="s">
        <v>351</v>
      </c>
    </row>
    <row r="20" customFormat="false" ht="21" hidden="false" customHeight="true" outlineLevel="0" collapsed="false">
      <c r="B20" s="4" t="s">
        <v>348</v>
      </c>
      <c r="C20" s="4" t="s">
        <v>196</v>
      </c>
      <c r="D20" s="4" t="s">
        <v>194</v>
      </c>
      <c r="E20" s="4" t="s">
        <v>198</v>
      </c>
      <c r="F20" s="4" t="s">
        <v>349</v>
      </c>
    </row>
    <row r="21" customFormat="false" ht="15" hidden="false" customHeight="false" outlineLevel="0" collapsed="false">
      <c r="B21" s="6" t="s">
        <v>196</v>
      </c>
      <c r="C21" s="26" t="n">
        <v>0.5212</v>
      </c>
      <c r="D21" s="7" t="n">
        <v>0.1786</v>
      </c>
      <c r="E21" s="7" t="n">
        <v>0.3002</v>
      </c>
      <c r="F21" s="7" t="n">
        <f aca="false">SUM(C21:E21)</f>
        <v>1</v>
      </c>
    </row>
    <row r="22" customFormat="false" ht="15" hidden="false" customHeight="false" outlineLevel="0" collapsed="false">
      <c r="B22" s="6" t="s">
        <v>194</v>
      </c>
      <c r="C22" s="7" t="n">
        <v>0.1395</v>
      </c>
      <c r="D22" s="26" t="n">
        <v>0.6722</v>
      </c>
      <c r="E22" s="7" t="n">
        <v>0.1884</v>
      </c>
      <c r="F22" s="7" t="n">
        <f aca="false">SUM(C22:E22)</f>
        <v>1.0001</v>
      </c>
    </row>
    <row r="23" customFormat="false" ht="15" hidden="false" customHeight="false" outlineLevel="0" collapsed="false">
      <c r="B23" s="6" t="s">
        <v>198</v>
      </c>
      <c r="C23" s="7" t="n">
        <v>0.1524</v>
      </c>
      <c r="D23" s="7" t="n">
        <v>0.1524</v>
      </c>
      <c r="E23" s="26" t="n">
        <v>0.6952</v>
      </c>
      <c r="F23" s="7" t="n">
        <f aca="false">SUM(C23:E23)</f>
        <v>1</v>
      </c>
    </row>
    <row r="26" customFormat="false" ht="15" hidden="false" customHeight="false" outlineLevel="0" collapsed="false">
      <c r="B26" s="3" t="s">
        <v>352</v>
      </c>
    </row>
    <row r="27" customFormat="false" ht="21" hidden="false" customHeight="true" outlineLevel="0" collapsed="false">
      <c r="B27" s="4" t="s">
        <v>348</v>
      </c>
      <c r="C27" s="4" t="s">
        <v>196</v>
      </c>
      <c r="D27" s="4" t="s">
        <v>194</v>
      </c>
      <c r="E27" s="4" t="s">
        <v>198</v>
      </c>
      <c r="F27" s="4" t="s">
        <v>349</v>
      </c>
    </row>
    <row r="28" customFormat="false" ht="15" hidden="false" customHeight="false" outlineLevel="0" collapsed="false">
      <c r="B28" s="6" t="s">
        <v>196</v>
      </c>
      <c r="C28" s="26" t="n">
        <v>0.5691</v>
      </c>
      <c r="D28" s="7" t="n">
        <v>0.1087</v>
      </c>
      <c r="E28" s="7" t="n">
        <v>0.3223</v>
      </c>
      <c r="F28" s="7" t="n">
        <f aca="false">SUM(C28:E28)</f>
        <v>1.0001</v>
      </c>
    </row>
    <row r="29" customFormat="false" ht="15" hidden="false" customHeight="false" outlineLevel="0" collapsed="false">
      <c r="B29" s="6" t="s">
        <v>194</v>
      </c>
      <c r="C29" s="7" t="n">
        <v>0.1661</v>
      </c>
      <c r="D29" s="26" t="n">
        <v>0.6262</v>
      </c>
      <c r="E29" s="7" t="n">
        <v>0.2078</v>
      </c>
      <c r="F29" s="7" t="n">
        <f aca="false">SUM(C29:E29)</f>
        <v>1.0001</v>
      </c>
    </row>
    <row r="30" customFormat="false" ht="15" hidden="false" customHeight="false" outlineLevel="0" collapsed="false">
      <c r="B30" s="6" t="s">
        <v>198</v>
      </c>
      <c r="C30" s="7" t="n">
        <v>0.1822</v>
      </c>
      <c r="D30" s="7" t="n">
        <v>0.0892</v>
      </c>
      <c r="E30" s="26" t="n">
        <v>0.7286</v>
      </c>
      <c r="F30" s="7" t="n">
        <f aca="false">SUM(C30:E30)</f>
        <v>1</v>
      </c>
    </row>
    <row r="33" customFormat="false" ht="15" hidden="false" customHeight="false" outlineLevel="0" collapsed="false">
      <c r="B33" s="3" t="s">
        <v>353</v>
      </c>
    </row>
    <row r="34" customFormat="false" ht="31.5" hidden="false" customHeight="true" outlineLevel="0" collapsed="false">
      <c r="B34" s="4" t="s">
        <v>19</v>
      </c>
      <c r="C34" s="4" t="s">
        <v>354</v>
      </c>
      <c r="D34" s="4" t="s">
        <v>355</v>
      </c>
      <c r="E34" s="4" t="s">
        <v>356</v>
      </c>
      <c r="F34" s="4" t="s">
        <v>200</v>
      </c>
    </row>
    <row r="35" customFormat="false" ht="15" hidden="false" customHeight="false" outlineLevel="0" collapsed="false">
      <c r="B35" s="8" t="s">
        <v>298</v>
      </c>
      <c r="C35" s="7" t="n">
        <f aca="false">C7</f>
        <v>0.5267</v>
      </c>
      <c r="D35" s="7" t="n">
        <f aca="false">D7</f>
        <v>0.1878</v>
      </c>
      <c r="E35" s="7" t="n">
        <f aca="false">E7</f>
        <v>0.2855</v>
      </c>
      <c r="F35" s="7" t="n">
        <f aca="false">SUM(C35:E35)</f>
        <v>1</v>
      </c>
    </row>
    <row r="36" customFormat="false" ht="15" hidden="false" customHeight="false" outlineLevel="0" collapsed="false">
      <c r="B36" s="8" t="s">
        <v>299</v>
      </c>
      <c r="C36" s="7" t="n">
        <f aca="false">C14</f>
        <v>0.512</v>
      </c>
      <c r="D36" s="7" t="n">
        <f aca="false">D14</f>
        <v>0.1455</v>
      </c>
      <c r="E36" s="7" t="n">
        <f aca="false">E14</f>
        <v>0.3425</v>
      </c>
      <c r="F36" s="7" t="n">
        <f aca="false">SUM(C36:E36)</f>
        <v>1</v>
      </c>
    </row>
    <row r="37" customFormat="false" ht="15" hidden="false" customHeight="false" outlineLevel="0" collapsed="false">
      <c r="B37" s="8" t="s">
        <v>300</v>
      </c>
      <c r="C37" s="7" t="n">
        <f aca="false">C21</f>
        <v>0.5212</v>
      </c>
      <c r="D37" s="7" t="n">
        <f aca="false">D21</f>
        <v>0.1786</v>
      </c>
      <c r="E37" s="7" t="n">
        <f aca="false">E21</f>
        <v>0.3002</v>
      </c>
      <c r="F37" s="7" t="n">
        <f aca="false">SUM(C37:E37)</f>
        <v>1</v>
      </c>
    </row>
    <row r="38" customFormat="false" ht="15" hidden="false" customHeight="false" outlineLevel="0" collapsed="false">
      <c r="B38" s="8" t="s">
        <v>301</v>
      </c>
      <c r="C38" s="7" t="n">
        <f aca="false">C28</f>
        <v>0.5691</v>
      </c>
      <c r="D38" s="7" t="n">
        <f aca="false">D28</f>
        <v>0.1087</v>
      </c>
      <c r="E38" s="7" t="n">
        <f aca="false">E28</f>
        <v>0.3223</v>
      </c>
      <c r="F38" s="7" t="n">
        <f aca="false">SUM(C38:E38)</f>
        <v>1.0001</v>
      </c>
    </row>
    <row r="40" customFormat="false" ht="15" hidden="false" customHeight="false" outlineLevel="0" collapsed="false">
      <c r="B40" s="12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7" min="4" style="0" width="14"/>
    <col collapsed="false" customWidth="true" hidden="false" outlineLevel="0" max="8" min="8" style="0" width="16"/>
  </cols>
  <sheetData>
    <row r="2" customFormat="false" ht="24" hidden="false" customHeight="true" outlineLevel="0" collapsed="false">
      <c r="B2" s="1" t="s">
        <v>358</v>
      </c>
    </row>
    <row r="3" customFormat="false" ht="15" hidden="false" customHeight="false" outlineLevel="0" collapsed="false">
      <c r="B3" s="2" t="s">
        <v>359</v>
      </c>
    </row>
    <row r="5" customFormat="false" ht="21" hidden="false" customHeight="true" outlineLevel="0" collapsed="false">
      <c r="B5" s="4" t="s">
        <v>19</v>
      </c>
      <c r="C5" s="4" t="s">
        <v>328</v>
      </c>
      <c r="D5" s="4" t="s">
        <v>360</v>
      </c>
      <c r="E5" s="4" t="s">
        <v>361</v>
      </c>
      <c r="F5" s="4" t="s">
        <v>362</v>
      </c>
      <c r="G5" s="4" t="s">
        <v>363</v>
      </c>
      <c r="H5" s="4" t="s">
        <v>364</v>
      </c>
    </row>
    <row r="6" customFormat="false" ht="15" hidden="false" customHeight="false" outlineLevel="0" collapsed="false">
      <c r="B6" s="8" t="s">
        <v>298</v>
      </c>
      <c r="C6" s="8" t="n">
        <v>1</v>
      </c>
      <c r="D6" s="9" t="n">
        <v>0.526</v>
      </c>
      <c r="E6" s="9" t="n">
        <v>2.5228</v>
      </c>
      <c r="F6" s="9" t="n">
        <v>0.6099</v>
      </c>
      <c r="G6" s="9" t="n">
        <v>2.0732</v>
      </c>
      <c r="H6" s="9" t="n">
        <v>0.0001</v>
      </c>
    </row>
    <row r="7" customFormat="false" ht="15" hidden="false" customHeight="false" outlineLevel="0" collapsed="false">
      <c r="B7" s="8" t="s">
        <v>298</v>
      </c>
      <c r="C7" s="8" t="n">
        <v>2</v>
      </c>
      <c r="D7" s="9" t="n">
        <v>0.5726</v>
      </c>
      <c r="E7" s="9" t="n">
        <v>2.2618</v>
      </c>
      <c r="F7" s="9" t="n">
        <v>0.5958</v>
      </c>
      <c r="G7" s="9" t="n">
        <v>2.0694</v>
      </c>
      <c r="H7" s="9" t="n">
        <v>0.0001</v>
      </c>
    </row>
    <row r="8" customFormat="false" ht="15" hidden="false" customHeight="false" outlineLevel="0" collapsed="false">
      <c r="B8" s="8" t="s">
        <v>298</v>
      </c>
      <c r="C8" s="8" t="n">
        <v>3</v>
      </c>
      <c r="D8" s="9" t="n">
        <v>0.5881</v>
      </c>
      <c r="E8" s="9" t="n">
        <v>2.1435</v>
      </c>
      <c r="F8" s="9" t="n">
        <v>0.656</v>
      </c>
      <c r="G8" s="9" t="n">
        <v>1.9641</v>
      </c>
      <c r="H8" s="9" t="n">
        <v>0.0001</v>
      </c>
    </row>
    <row r="9" customFormat="false" ht="15" hidden="false" customHeight="false" outlineLevel="0" collapsed="false">
      <c r="B9" s="8" t="s">
        <v>298</v>
      </c>
      <c r="C9" s="8" t="n">
        <v>4</v>
      </c>
      <c r="D9" s="9" t="n">
        <v>0.6072</v>
      </c>
      <c r="E9" s="9" t="n">
        <v>2.056</v>
      </c>
      <c r="F9" s="9" t="n">
        <v>0.6318</v>
      </c>
      <c r="G9" s="9" t="n">
        <v>1.9632</v>
      </c>
      <c r="H9" s="9" t="n">
        <v>0.0001</v>
      </c>
    </row>
    <row r="10" customFormat="false" ht="15" hidden="false" customHeight="false" outlineLevel="0" collapsed="false">
      <c r="B10" s="8" t="s">
        <v>298</v>
      </c>
      <c r="C10" s="8" t="n">
        <v>5</v>
      </c>
      <c r="D10" s="9" t="n">
        <v>0.6158</v>
      </c>
      <c r="E10" s="9" t="n">
        <v>1.9932</v>
      </c>
      <c r="F10" s="9" t="n">
        <v>0.6373</v>
      </c>
      <c r="G10" s="9" t="n">
        <v>1.9131</v>
      </c>
      <c r="H10" s="9" t="n">
        <v>0.0001</v>
      </c>
    </row>
    <row r="11" customFormat="false" ht="15" hidden="false" customHeight="false" outlineLevel="0" collapsed="false">
      <c r="B11" s="8" t="s">
        <v>298</v>
      </c>
      <c r="C11" s="8" t="n">
        <v>6</v>
      </c>
      <c r="D11" s="9" t="n">
        <v>0.6196</v>
      </c>
      <c r="E11" s="9" t="n">
        <v>1.9316</v>
      </c>
      <c r="F11" s="9" t="n">
        <v>0.6451</v>
      </c>
      <c r="G11" s="9" t="n">
        <v>1.8659</v>
      </c>
      <c r="H11" s="9" t="n">
        <v>0.0001</v>
      </c>
    </row>
    <row r="12" customFormat="false" ht="15" hidden="false" customHeight="false" outlineLevel="0" collapsed="false">
      <c r="B12" s="8" t="s">
        <v>298</v>
      </c>
      <c r="C12" s="8" t="n">
        <v>7</v>
      </c>
      <c r="D12" s="9" t="n">
        <v>0.634</v>
      </c>
      <c r="E12" s="9" t="n">
        <v>1.8667</v>
      </c>
      <c r="F12" s="9" t="n">
        <v>0.6597</v>
      </c>
      <c r="G12" s="9" t="n">
        <v>1.7959</v>
      </c>
      <c r="H12" s="9" t="n">
        <v>0.0001</v>
      </c>
    </row>
    <row r="13" customFormat="false" ht="15" hidden="false" customHeight="false" outlineLevel="0" collapsed="false">
      <c r="B13" s="8" t="s">
        <v>298</v>
      </c>
      <c r="C13" s="8" t="n">
        <v>8</v>
      </c>
      <c r="D13" s="9" t="n">
        <v>0.6297</v>
      </c>
      <c r="E13" s="9" t="n">
        <v>1.8173</v>
      </c>
      <c r="F13" s="9" t="n">
        <v>0.6651</v>
      </c>
      <c r="G13" s="9" t="n">
        <v>1.7495</v>
      </c>
      <c r="H13" s="9" t="n">
        <v>0.0001</v>
      </c>
    </row>
    <row r="14" customFormat="false" ht="15" hidden="false" customHeight="false" outlineLevel="0" collapsed="false">
      <c r="B14" s="8" t="s">
        <v>298</v>
      </c>
      <c r="C14" s="8" t="n">
        <v>9</v>
      </c>
      <c r="D14" s="9" t="n">
        <v>0.6376</v>
      </c>
      <c r="E14" s="9" t="n">
        <v>1.756</v>
      </c>
      <c r="F14" s="9" t="n">
        <v>0.6505</v>
      </c>
      <c r="G14" s="9" t="n">
        <v>1.7244</v>
      </c>
      <c r="H14" s="9" t="n">
        <v>0.0001</v>
      </c>
    </row>
    <row r="15" customFormat="false" ht="15" hidden="false" customHeight="false" outlineLevel="0" collapsed="false">
      <c r="B15" s="8" t="s">
        <v>298</v>
      </c>
      <c r="C15" s="8" t="n">
        <v>10</v>
      </c>
      <c r="D15" s="9" t="n">
        <v>0.6437</v>
      </c>
      <c r="E15" s="9" t="n">
        <v>1.696</v>
      </c>
      <c r="F15" s="9" t="n">
        <v>0.6743</v>
      </c>
      <c r="G15" s="9" t="n">
        <v>1.6346</v>
      </c>
      <c r="H15" s="9" t="n">
        <v>0.0001</v>
      </c>
    </row>
    <row r="16" customFormat="false" ht="15" hidden="false" customHeight="false" outlineLevel="0" collapsed="false">
      <c r="B16" s="8" t="s">
        <v>299</v>
      </c>
      <c r="C16" s="8" t="n">
        <v>1</v>
      </c>
      <c r="D16" s="9" t="n">
        <v>0.5263</v>
      </c>
      <c r="E16" s="9" t="n">
        <v>2.4752</v>
      </c>
      <c r="F16" s="9" t="n">
        <v>0.5575</v>
      </c>
      <c r="G16" s="9" t="n">
        <v>2.163</v>
      </c>
      <c r="H16" s="9" t="n">
        <v>0.0001</v>
      </c>
    </row>
    <row r="17" customFormat="false" ht="15" hidden="false" customHeight="false" outlineLevel="0" collapsed="false">
      <c r="B17" s="8" t="s">
        <v>299</v>
      </c>
      <c r="C17" s="8" t="n">
        <v>2</v>
      </c>
      <c r="D17" s="9" t="n">
        <v>0.5717</v>
      </c>
      <c r="E17" s="9" t="n">
        <v>2.2392</v>
      </c>
      <c r="F17" s="9" t="n">
        <v>0.6172</v>
      </c>
      <c r="G17" s="9" t="n">
        <v>2.0303</v>
      </c>
      <c r="H17" s="9" t="n">
        <v>0.0001</v>
      </c>
    </row>
    <row r="18" customFormat="false" ht="15" hidden="false" customHeight="false" outlineLevel="0" collapsed="false">
      <c r="B18" s="8" t="s">
        <v>299</v>
      </c>
      <c r="C18" s="8" t="n">
        <v>3</v>
      </c>
      <c r="D18" s="9" t="n">
        <v>0.5895</v>
      </c>
      <c r="E18" s="9" t="n">
        <v>2.1219</v>
      </c>
      <c r="F18" s="9" t="n">
        <v>0.6072</v>
      </c>
      <c r="G18" s="9" t="n">
        <v>1.9886</v>
      </c>
      <c r="H18" s="9" t="n">
        <v>0.0001</v>
      </c>
    </row>
    <row r="19" customFormat="false" ht="15" hidden="false" customHeight="false" outlineLevel="0" collapsed="false">
      <c r="B19" s="8" t="s">
        <v>299</v>
      </c>
      <c r="C19" s="8" t="n">
        <v>4</v>
      </c>
      <c r="D19" s="9" t="n">
        <v>0.6002</v>
      </c>
      <c r="E19" s="9" t="n">
        <v>2.0505</v>
      </c>
      <c r="F19" s="9" t="n">
        <v>0.6045</v>
      </c>
      <c r="G19" s="9" t="n">
        <v>1.9739</v>
      </c>
      <c r="H19" s="9" t="n">
        <v>0.0001</v>
      </c>
    </row>
    <row r="20" customFormat="false" ht="15" hidden="false" customHeight="false" outlineLevel="0" collapsed="false">
      <c r="B20" s="8" t="s">
        <v>299</v>
      </c>
      <c r="C20" s="8" t="n">
        <v>5</v>
      </c>
      <c r="D20" s="9" t="n">
        <v>0.612</v>
      </c>
      <c r="E20" s="9" t="n">
        <v>1.9802</v>
      </c>
      <c r="F20" s="9" t="n">
        <v>0.6277</v>
      </c>
      <c r="G20" s="9" t="n">
        <v>1.8978</v>
      </c>
      <c r="H20" s="9" t="n">
        <v>0.0001</v>
      </c>
    </row>
    <row r="21" customFormat="false" ht="15" hidden="false" customHeight="false" outlineLevel="0" collapsed="false">
      <c r="B21" s="8" t="s">
        <v>299</v>
      </c>
      <c r="C21" s="8" t="n">
        <v>6</v>
      </c>
      <c r="D21" s="9" t="n">
        <v>0.6171</v>
      </c>
      <c r="E21" s="9" t="n">
        <v>1.9128</v>
      </c>
      <c r="F21" s="9" t="n">
        <v>0.6382</v>
      </c>
      <c r="G21" s="9" t="n">
        <v>1.8554</v>
      </c>
      <c r="H21" s="9" t="n">
        <v>0.0001</v>
      </c>
    </row>
    <row r="22" customFormat="false" ht="15" hidden="false" customHeight="false" outlineLevel="0" collapsed="false">
      <c r="B22" s="8" t="s">
        <v>299</v>
      </c>
      <c r="C22" s="8" t="n">
        <v>7</v>
      </c>
      <c r="D22" s="9" t="n">
        <v>0.6321</v>
      </c>
      <c r="E22" s="9" t="n">
        <v>1.8484</v>
      </c>
      <c r="F22" s="9" t="n">
        <v>0.6255</v>
      </c>
      <c r="G22" s="9" t="n">
        <v>1.8219</v>
      </c>
      <c r="H22" s="9" t="n">
        <v>0.0001</v>
      </c>
    </row>
    <row r="23" customFormat="false" ht="15" hidden="false" customHeight="false" outlineLevel="0" collapsed="false">
      <c r="B23" s="8" t="s">
        <v>299</v>
      </c>
      <c r="C23" s="8" t="n">
        <v>8</v>
      </c>
      <c r="D23" s="9" t="n">
        <v>0.6289</v>
      </c>
      <c r="E23" s="9" t="n">
        <v>1.7936</v>
      </c>
      <c r="F23" s="9" t="n">
        <v>0.6168</v>
      </c>
      <c r="G23" s="9" t="n">
        <v>1.7819</v>
      </c>
      <c r="H23" s="9" t="n">
        <v>0.0001</v>
      </c>
    </row>
    <row r="24" customFormat="false" ht="15" hidden="false" customHeight="false" outlineLevel="0" collapsed="false">
      <c r="B24" s="8" t="s">
        <v>299</v>
      </c>
      <c r="C24" s="8" t="n">
        <v>9</v>
      </c>
      <c r="D24" s="9" t="n">
        <v>0.6376</v>
      </c>
      <c r="E24" s="9" t="n">
        <v>1.7281</v>
      </c>
      <c r="F24" s="9" t="n">
        <v>0.6227</v>
      </c>
      <c r="G24" s="9" t="n">
        <v>1.7155</v>
      </c>
      <c r="H24" s="9" t="n">
        <v>0.0001</v>
      </c>
    </row>
    <row r="25" customFormat="false" ht="15" hidden="false" customHeight="false" outlineLevel="0" collapsed="false">
      <c r="B25" s="8" t="s">
        <v>299</v>
      </c>
      <c r="C25" s="8" t="n">
        <v>10</v>
      </c>
      <c r="D25" s="9" t="n">
        <v>0.6384</v>
      </c>
      <c r="E25" s="9" t="n">
        <v>1.6704</v>
      </c>
      <c r="F25" s="9" t="n">
        <v>0.646</v>
      </c>
      <c r="G25" s="9" t="n">
        <v>1.6333</v>
      </c>
      <c r="H25" s="9" t="n">
        <v>0.0001</v>
      </c>
    </row>
    <row r="26" customFormat="false" ht="15" hidden="false" customHeight="false" outlineLevel="0" collapsed="false">
      <c r="B26" s="8" t="s">
        <v>300</v>
      </c>
      <c r="C26" s="8" t="n">
        <v>1</v>
      </c>
      <c r="D26" s="9" t="n">
        <v>0.5276</v>
      </c>
      <c r="E26" s="9" t="n">
        <v>2.4662</v>
      </c>
      <c r="F26" s="9" t="n">
        <v>0.6223</v>
      </c>
      <c r="G26" s="9" t="n">
        <v>2.0817</v>
      </c>
      <c r="H26" s="9" t="n">
        <v>0.0001</v>
      </c>
    </row>
    <row r="27" customFormat="false" ht="15" hidden="false" customHeight="false" outlineLevel="0" collapsed="false">
      <c r="B27" s="8" t="s">
        <v>300</v>
      </c>
      <c r="C27" s="8" t="n">
        <v>2</v>
      </c>
      <c r="D27" s="9" t="n">
        <v>0.5752</v>
      </c>
      <c r="E27" s="9" t="n">
        <v>2.2272</v>
      </c>
      <c r="F27" s="9" t="n">
        <v>0.615</v>
      </c>
      <c r="G27" s="9" t="n">
        <v>2.0393</v>
      </c>
      <c r="H27" s="9" t="n">
        <v>0.0001</v>
      </c>
    </row>
    <row r="28" customFormat="false" ht="15" hidden="false" customHeight="false" outlineLevel="0" collapsed="false">
      <c r="B28" s="8" t="s">
        <v>300</v>
      </c>
      <c r="C28" s="8" t="n">
        <v>3</v>
      </c>
      <c r="D28" s="9" t="n">
        <v>0.5953</v>
      </c>
      <c r="E28" s="9" t="n">
        <v>2.1147</v>
      </c>
      <c r="F28" s="9" t="n">
        <v>0.6396</v>
      </c>
      <c r="G28" s="9" t="n">
        <v>1.9863</v>
      </c>
      <c r="H28" s="9" t="n">
        <v>0.0001</v>
      </c>
    </row>
    <row r="29" customFormat="false" ht="15" hidden="false" customHeight="false" outlineLevel="0" collapsed="false">
      <c r="B29" s="8" t="s">
        <v>300</v>
      </c>
      <c r="C29" s="8" t="n">
        <v>4</v>
      </c>
      <c r="D29" s="9" t="n">
        <v>0.6123</v>
      </c>
      <c r="E29" s="9" t="n">
        <v>2.0389</v>
      </c>
      <c r="F29" s="9" t="n">
        <v>0.6515</v>
      </c>
      <c r="G29" s="9" t="n">
        <v>1.9398</v>
      </c>
      <c r="H29" s="9" t="n">
        <v>0.0001</v>
      </c>
    </row>
    <row r="30" customFormat="false" ht="15" hidden="false" customHeight="false" outlineLevel="0" collapsed="false">
      <c r="B30" s="8" t="s">
        <v>300</v>
      </c>
      <c r="C30" s="8" t="n">
        <v>5</v>
      </c>
      <c r="D30" s="9" t="n">
        <v>0.6219</v>
      </c>
      <c r="E30" s="9" t="n">
        <v>1.9744</v>
      </c>
      <c r="F30" s="9" t="n">
        <v>0.6556</v>
      </c>
      <c r="G30" s="9" t="n">
        <v>1.8867</v>
      </c>
      <c r="H30" s="9" t="n">
        <v>0.0001</v>
      </c>
    </row>
    <row r="31" customFormat="false" ht="15" hidden="false" customHeight="false" outlineLevel="0" collapsed="false">
      <c r="B31" s="8" t="s">
        <v>300</v>
      </c>
      <c r="C31" s="8" t="n">
        <v>6</v>
      </c>
      <c r="D31" s="9" t="n">
        <v>0.6236</v>
      </c>
      <c r="E31" s="9" t="n">
        <v>1.9147</v>
      </c>
      <c r="F31" s="9" t="n">
        <v>0.6592</v>
      </c>
      <c r="G31" s="9" t="n">
        <v>1.8579</v>
      </c>
      <c r="H31" s="9" t="n">
        <v>0.0001</v>
      </c>
    </row>
    <row r="32" customFormat="false" ht="15" hidden="false" customHeight="false" outlineLevel="0" collapsed="false">
      <c r="B32" s="8" t="s">
        <v>300</v>
      </c>
      <c r="C32" s="8" t="n">
        <v>7</v>
      </c>
      <c r="D32" s="9" t="n">
        <v>0.6336</v>
      </c>
      <c r="E32" s="9" t="n">
        <v>1.8536</v>
      </c>
      <c r="F32" s="9" t="n">
        <v>0.63</v>
      </c>
      <c r="G32" s="9" t="n">
        <v>1.807</v>
      </c>
      <c r="H32" s="9" t="n">
        <v>0.0001</v>
      </c>
    </row>
    <row r="33" customFormat="false" ht="15" hidden="false" customHeight="false" outlineLevel="0" collapsed="false">
      <c r="B33" s="8" t="s">
        <v>300</v>
      </c>
      <c r="C33" s="8" t="n">
        <v>8</v>
      </c>
      <c r="D33" s="9" t="n">
        <v>0.6362</v>
      </c>
      <c r="E33" s="9" t="n">
        <v>1.7913</v>
      </c>
      <c r="F33" s="9" t="n">
        <v>0.6359</v>
      </c>
      <c r="G33" s="9" t="n">
        <v>1.7541</v>
      </c>
      <c r="H33" s="9" t="n">
        <v>0.0001</v>
      </c>
    </row>
    <row r="34" customFormat="false" ht="15" hidden="false" customHeight="false" outlineLevel="0" collapsed="false">
      <c r="B34" s="8" t="s">
        <v>300</v>
      </c>
      <c r="C34" s="8" t="n">
        <v>9</v>
      </c>
      <c r="D34" s="9" t="n">
        <v>0.6384</v>
      </c>
      <c r="E34" s="9" t="n">
        <v>1.7314</v>
      </c>
      <c r="F34" s="9" t="n">
        <v>0.6469</v>
      </c>
      <c r="G34" s="9" t="n">
        <v>1.6835</v>
      </c>
      <c r="H34" s="9" t="n">
        <v>0.0001</v>
      </c>
    </row>
    <row r="35" customFormat="false" ht="15" hidden="false" customHeight="false" outlineLevel="0" collapsed="false">
      <c r="B35" s="8" t="s">
        <v>300</v>
      </c>
      <c r="C35" s="8" t="n">
        <v>10</v>
      </c>
      <c r="D35" s="9" t="n">
        <v>0.6448</v>
      </c>
      <c r="E35" s="9" t="n">
        <v>1.6722</v>
      </c>
      <c r="F35" s="9" t="n">
        <v>0.6505</v>
      </c>
      <c r="G35" s="9" t="n">
        <v>1.6506</v>
      </c>
      <c r="H35" s="9" t="n">
        <v>0.0001</v>
      </c>
    </row>
    <row r="36" customFormat="false" ht="15" hidden="false" customHeight="false" outlineLevel="0" collapsed="false">
      <c r="B36" s="8" t="s">
        <v>301</v>
      </c>
      <c r="C36" s="8" t="n">
        <v>1</v>
      </c>
      <c r="D36" s="9" t="n">
        <v>0.5322</v>
      </c>
      <c r="E36" s="9" t="n">
        <v>2.4829</v>
      </c>
      <c r="F36" s="9" t="n">
        <v>0.6437</v>
      </c>
      <c r="G36" s="9" t="n">
        <v>2.0275</v>
      </c>
      <c r="H36" s="9" t="n">
        <v>0.0001</v>
      </c>
    </row>
    <row r="37" customFormat="false" ht="15" hidden="false" customHeight="false" outlineLevel="0" collapsed="false">
      <c r="B37" s="8" t="s">
        <v>301</v>
      </c>
      <c r="C37" s="8" t="n">
        <v>2</v>
      </c>
      <c r="D37" s="9" t="n">
        <v>0.5688</v>
      </c>
      <c r="E37" s="9" t="n">
        <v>2.2592</v>
      </c>
      <c r="F37" s="9" t="n">
        <v>0.609</v>
      </c>
      <c r="G37" s="9" t="n">
        <v>2.0515</v>
      </c>
      <c r="H37" s="9" t="n">
        <v>0.0001</v>
      </c>
    </row>
    <row r="38" customFormat="false" ht="15" hidden="false" customHeight="false" outlineLevel="0" collapsed="false">
      <c r="B38" s="8" t="s">
        <v>301</v>
      </c>
      <c r="C38" s="8" t="n">
        <v>3</v>
      </c>
      <c r="D38" s="9" t="n">
        <v>0.589</v>
      </c>
      <c r="E38" s="9" t="n">
        <v>2.1353</v>
      </c>
      <c r="F38" s="9" t="n">
        <v>0.635</v>
      </c>
      <c r="G38" s="9" t="n">
        <v>1.989</v>
      </c>
      <c r="H38" s="9" t="n">
        <v>0.0001</v>
      </c>
    </row>
    <row r="39" customFormat="false" ht="15" hidden="false" customHeight="false" outlineLevel="0" collapsed="false">
      <c r="B39" s="8" t="s">
        <v>301</v>
      </c>
      <c r="C39" s="8" t="n">
        <v>4</v>
      </c>
      <c r="D39" s="9" t="n">
        <v>0.5994</v>
      </c>
      <c r="E39" s="9" t="n">
        <v>2.0709</v>
      </c>
      <c r="F39" s="9" t="n">
        <v>0.6036</v>
      </c>
      <c r="G39" s="9" t="n">
        <v>1.9876</v>
      </c>
      <c r="H39" s="9" t="n">
        <v>0.0001</v>
      </c>
    </row>
    <row r="40" customFormat="false" ht="15" hidden="false" customHeight="false" outlineLevel="0" collapsed="false">
      <c r="B40" s="8" t="s">
        <v>301</v>
      </c>
      <c r="C40" s="8" t="n">
        <v>5</v>
      </c>
      <c r="D40" s="9" t="n">
        <v>0.6088</v>
      </c>
      <c r="E40" s="9" t="n">
        <v>1.9971</v>
      </c>
      <c r="F40" s="9" t="n">
        <v>0.6227</v>
      </c>
      <c r="G40" s="9" t="n">
        <v>1.9366</v>
      </c>
      <c r="H40" s="9" t="n">
        <v>0.0001</v>
      </c>
    </row>
    <row r="41" customFormat="false" ht="15" hidden="false" customHeight="false" outlineLevel="0" collapsed="false">
      <c r="B41" s="8" t="s">
        <v>301</v>
      </c>
      <c r="C41" s="8" t="n">
        <v>6</v>
      </c>
      <c r="D41" s="9" t="n">
        <v>0.6218</v>
      </c>
      <c r="E41" s="9" t="n">
        <v>1.9294</v>
      </c>
      <c r="F41" s="9" t="n">
        <v>0.6259</v>
      </c>
      <c r="G41" s="9" t="n">
        <v>1.8802</v>
      </c>
      <c r="H41" s="9" t="n">
        <v>0.0001</v>
      </c>
    </row>
    <row r="42" customFormat="false" ht="15" hidden="false" customHeight="false" outlineLevel="0" collapsed="false">
      <c r="B42" s="8" t="s">
        <v>301</v>
      </c>
      <c r="C42" s="8" t="n">
        <v>7</v>
      </c>
      <c r="D42" s="9" t="n">
        <v>0.6319</v>
      </c>
      <c r="E42" s="9" t="n">
        <v>1.8641</v>
      </c>
      <c r="F42" s="9" t="n">
        <v>0.6332</v>
      </c>
      <c r="G42" s="9" t="n">
        <v>1.8242</v>
      </c>
      <c r="H42" s="9" t="n">
        <v>0.0001</v>
      </c>
    </row>
    <row r="43" customFormat="false" ht="15" hidden="false" customHeight="false" outlineLevel="0" collapsed="false">
      <c r="B43" s="8" t="s">
        <v>301</v>
      </c>
      <c r="C43" s="8" t="n">
        <v>8</v>
      </c>
      <c r="D43" s="9" t="n">
        <v>0.6294</v>
      </c>
      <c r="E43" s="9" t="n">
        <v>1.8199</v>
      </c>
      <c r="F43" s="9" t="n">
        <v>0.6195</v>
      </c>
      <c r="G43" s="9" t="n">
        <v>1.7837</v>
      </c>
      <c r="H43" s="9" t="n">
        <v>0.0001</v>
      </c>
    </row>
    <row r="44" customFormat="false" ht="15" hidden="false" customHeight="false" outlineLevel="0" collapsed="false">
      <c r="B44" s="8" t="s">
        <v>301</v>
      </c>
      <c r="C44" s="8" t="n">
        <v>9</v>
      </c>
      <c r="D44" s="9" t="n">
        <v>0.633</v>
      </c>
      <c r="E44" s="9" t="n">
        <v>1.7593</v>
      </c>
      <c r="F44" s="9" t="n">
        <v>0.6227</v>
      </c>
      <c r="G44" s="9" t="n">
        <v>1.7346</v>
      </c>
      <c r="H44" s="9" t="n">
        <v>0.0001</v>
      </c>
    </row>
    <row r="45" customFormat="false" ht="15" hidden="false" customHeight="false" outlineLevel="0" collapsed="false">
      <c r="B45" s="8" t="s">
        <v>301</v>
      </c>
      <c r="C45" s="8" t="n">
        <v>10</v>
      </c>
      <c r="D45" s="9" t="n">
        <v>0.6402</v>
      </c>
      <c r="E45" s="9" t="n">
        <v>1.7047</v>
      </c>
      <c r="F45" s="9" t="n">
        <v>0.6168</v>
      </c>
      <c r="G45" s="9" t="n">
        <v>1.6903</v>
      </c>
      <c r="H45" s="9" t="n">
        <v>0.0001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11" min="6" style="0" width="15"/>
  </cols>
  <sheetData>
    <row r="2" customFormat="false" ht="24" hidden="false" customHeight="true" outlineLevel="0" collapsed="false">
      <c r="B2" s="1" t="s">
        <v>365</v>
      </c>
    </row>
    <row r="3" customFormat="false" ht="15" hidden="false" customHeight="false" outlineLevel="0" collapsed="false">
      <c r="B3" s="2" t="s">
        <v>366</v>
      </c>
    </row>
    <row r="5" customFormat="false" ht="15" hidden="false" customHeight="false" outlineLevel="0" collapsed="false">
      <c r="B5" s="3" t="s">
        <v>367</v>
      </c>
    </row>
    <row r="6" customFormat="false" ht="31.5" hidden="false" customHeight="true" outlineLevel="0" collapsed="false">
      <c r="B6" s="4" t="s">
        <v>19</v>
      </c>
      <c r="C6" s="4" t="s">
        <v>368</v>
      </c>
      <c r="D6" s="4" t="s">
        <v>369</v>
      </c>
      <c r="E6" s="4" t="s">
        <v>370</v>
      </c>
      <c r="F6" s="4" t="s">
        <v>371</v>
      </c>
      <c r="G6" s="4" t="s">
        <v>372</v>
      </c>
      <c r="H6" s="4" t="s">
        <v>373</v>
      </c>
      <c r="I6" s="4" t="s">
        <v>374</v>
      </c>
    </row>
    <row r="7" customFormat="false" ht="15" hidden="false" customHeight="false" outlineLevel="0" collapsed="false">
      <c r="B7" s="8" t="s">
        <v>298</v>
      </c>
      <c r="C7" s="10" t="n">
        <v>94.41</v>
      </c>
      <c r="D7" s="10" t="n">
        <f aca="false">'Hasil Preprocessing'!F6</f>
        <v>264.76</v>
      </c>
      <c r="E7" s="10" t="n">
        <f aca="false">D7/C7</f>
        <v>2.80436394449741</v>
      </c>
      <c r="F7" s="10" t="n">
        <v>54</v>
      </c>
      <c r="G7" s="10" t="n">
        <f aca="false">'Hasil Preprocessing'!J6</f>
        <v>63.31</v>
      </c>
      <c r="H7" s="13" t="n">
        <v>6460.64</v>
      </c>
      <c r="I7" s="13" t="n">
        <f aca="false">'Hasil Preprocessing'!K6</f>
        <v>6195.38</v>
      </c>
    </row>
    <row r="8" customFormat="false" ht="15" hidden="false" customHeight="false" outlineLevel="0" collapsed="false">
      <c r="B8" s="8" t="s">
        <v>299</v>
      </c>
      <c r="C8" s="10" t="n">
        <v>89.44</v>
      </c>
      <c r="D8" s="10" t="n">
        <f aca="false">'Hasil Preprocessing'!F7</f>
        <v>263.93</v>
      </c>
      <c r="E8" s="10" t="n">
        <f aca="false">D8/C8</f>
        <v>2.9509168157424</v>
      </c>
      <c r="F8" s="10" t="n">
        <v>58.26</v>
      </c>
      <c r="G8" s="10" t="n">
        <f aca="false">'Hasil Preprocessing'!J7</f>
        <v>62.87</v>
      </c>
      <c r="H8" s="13" t="n">
        <v>6366.35</v>
      </c>
      <c r="I8" s="13" t="n">
        <f aca="false">'Hasil Preprocessing'!K7</f>
        <v>6561.88</v>
      </c>
    </row>
    <row r="9" customFormat="false" ht="15" hidden="false" customHeight="false" outlineLevel="0" collapsed="false">
      <c r="B9" s="8" t="s">
        <v>300</v>
      </c>
      <c r="C9" s="10" t="n">
        <v>91.87</v>
      </c>
      <c r="D9" s="10" t="n">
        <f aca="false">'Hasil Preprocessing'!F8</f>
        <v>280.25</v>
      </c>
      <c r="E9" s="10" t="n">
        <f aca="false">D9/C9</f>
        <v>3.05050614999456</v>
      </c>
      <c r="F9" s="10" t="n">
        <v>61.21</v>
      </c>
      <c r="G9" s="10" t="n">
        <f aca="false">'Hasil Preprocessing'!J8</f>
        <v>63.86</v>
      </c>
      <c r="H9" s="13" t="n">
        <v>8396.57</v>
      </c>
      <c r="I9" s="13" t="n">
        <f aca="false">'Hasil Preprocessing'!K8</f>
        <v>8548.25</v>
      </c>
    </row>
    <row r="10" customFormat="false" ht="15" hidden="false" customHeight="false" outlineLevel="0" collapsed="false">
      <c r="B10" s="8" t="s">
        <v>301</v>
      </c>
      <c r="C10" s="10" t="n">
        <v>93.03</v>
      </c>
      <c r="D10" s="10" t="n">
        <f aca="false">'Hasil Preprocessing'!F9</f>
        <v>240.74</v>
      </c>
      <c r="E10" s="10" t="n">
        <f aca="false">D10/C10</f>
        <v>2.58776738686445</v>
      </c>
      <c r="F10" s="10" t="n">
        <v>91.96</v>
      </c>
      <c r="G10" s="10" t="n">
        <f aca="false">'Hasil Preprocessing'!J9</f>
        <v>99.72</v>
      </c>
      <c r="H10" s="13" t="n">
        <v>9615.14</v>
      </c>
      <c r="I10" s="13" t="n">
        <f aca="false">'Hasil Preprocessing'!K9</f>
        <v>9851.83</v>
      </c>
    </row>
    <row r="11" customFormat="false" ht="15" hidden="false" customHeight="false" outlineLevel="0" collapsed="false">
      <c r="B11" s="16" t="s">
        <v>302</v>
      </c>
      <c r="C11" s="20" t="n">
        <f aca="false">AVERAGE(C7:C10)</f>
        <v>92.1875</v>
      </c>
      <c r="D11" s="20" t="n">
        <f aca="false">AVERAGE(D7:D10)</f>
        <v>262.42</v>
      </c>
      <c r="E11" s="20" t="n">
        <f aca="false">AVERAGE(E7:E10)</f>
        <v>2.8483885742747</v>
      </c>
      <c r="F11" s="20" t="n">
        <f aca="false">AVERAGE(F7:F10)</f>
        <v>66.3575</v>
      </c>
      <c r="G11" s="20" t="n">
        <f aca="false">AVERAGE(G7:G10)</f>
        <v>72.44</v>
      </c>
      <c r="H11" s="17" t="n">
        <f aca="false">AVERAGE(H7:H10)</f>
        <v>7709.675</v>
      </c>
      <c r="I11" s="17" t="n">
        <f aca="false">AVERAGE(I7:I10)</f>
        <v>7789.335</v>
      </c>
    </row>
    <row r="13" customFormat="false" ht="15" hidden="false" customHeight="false" outlineLevel="0" collapsed="false">
      <c r="B13" s="3" t="s">
        <v>375</v>
      </c>
    </row>
    <row r="14" customFormat="false" ht="31.5" hidden="false" customHeight="true" outlineLevel="0" collapsed="false">
      <c r="B14" s="4" t="s">
        <v>19</v>
      </c>
      <c r="C14" s="4" t="s">
        <v>376</v>
      </c>
      <c r="D14" s="4" t="s">
        <v>377</v>
      </c>
      <c r="E14" s="4" t="s">
        <v>378</v>
      </c>
      <c r="F14" s="4" t="s">
        <v>379</v>
      </c>
      <c r="G14" s="4" t="s">
        <v>380</v>
      </c>
      <c r="H14" s="4" t="s">
        <v>381</v>
      </c>
      <c r="I14" s="4" t="s">
        <v>382</v>
      </c>
      <c r="J14" s="4" t="s">
        <v>383</v>
      </c>
      <c r="K14" s="4" t="s">
        <v>384</v>
      </c>
    </row>
    <row r="15" customFormat="false" ht="15" hidden="false" customHeight="false" outlineLevel="0" collapsed="false">
      <c r="B15" s="8" t="s">
        <v>298</v>
      </c>
      <c r="C15" s="7" t="n">
        <v>0.7571</v>
      </c>
      <c r="D15" s="7" t="n">
        <f aca="false">'Hasil Akurasi'!E6</f>
        <v>0.6754</v>
      </c>
      <c r="E15" s="10" t="n">
        <f aca="false">(D15-C15)*100</f>
        <v>-8.17</v>
      </c>
      <c r="F15" s="9" t="n">
        <v>0.6903</v>
      </c>
      <c r="G15" s="9" t="n">
        <f aca="false">'Hasil Akurasi'!F6</f>
        <v>0.6026</v>
      </c>
      <c r="H15" s="9" t="n">
        <f aca="false">G15-F15</f>
        <v>-0.0877</v>
      </c>
      <c r="I15" s="9" t="n">
        <v>0.8938</v>
      </c>
      <c r="J15" s="9" t="n">
        <f aca="false">'Hasil Akurasi'!G6</f>
        <v>0.8424</v>
      </c>
      <c r="K15" s="9" t="n">
        <f aca="false">J15-I15</f>
        <v>-0.0514</v>
      </c>
    </row>
    <row r="16" customFormat="false" ht="15" hidden="false" customHeight="false" outlineLevel="0" collapsed="false">
      <c r="B16" s="8" t="s">
        <v>299</v>
      </c>
      <c r="C16" s="7" t="n">
        <v>0.7612</v>
      </c>
      <c r="D16" s="7" t="n">
        <f aca="false">'Hasil Akurasi'!E7</f>
        <v>0.65</v>
      </c>
      <c r="E16" s="10" t="n">
        <f aca="false">(D16-C16)*100</f>
        <v>-11.12</v>
      </c>
      <c r="F16" s="9" t="n">
        <v>0.6929</v>
      </c>
      <c r="G16" s="9" t="n">
        <f aca="false">'Hasil Akurasi'!F7</f>
        <v>0.5823</v>
      </c>
      <c r="H16" s="9" t="n">
        <f aca="false">G16-F16</f>
        <v>-0.1106</v>
      </c>
      <c r="I16" s="9" t="n">
        <v>0.895</v>
      </c>
      <c r="J16" s="9" t="n">
        <f aca="false">'Hasil Akurasi'!G7</f>
        <v>0.8362</v>
      </c>
      <c r="K16" s="9" t="n">
        <f aca="false">J16-I16</f>
        <v>-0.0588</v>
      </c>
    </row>
    <row r="17" customFormat="false" ht="15" hidden="false" customHeight="false" outlineLevel="0" collapsed="false">
      <c r="B17" s="8" t="s">
        <v>300</v>
      </c>
      <c r="C17" s="7" t="n">
        <v>0.744</v>
      </c>
      <c r="D17" s="7" t="n">
        <f aca="false">'Hasil Akurasi'!E8</f>
        <v>0.6378</v>
      </c>
      <c r="E17" s="10" t="n">
        <f aca="false">(D17-C17)*100</f>
        <v>-10.62</v>
      </c>
      <c r="F17" s="9" t="n">
        <v>0.6788</v>
      </c>
      <c r="G17" s="9" t="n">
        <f aca="false">'Hasil Akurasi'!F8</f>
        <v>0.5723</v>
      </c>
      <c r="H17" s="9" t="n">
        <f aca="false">G17-F17</f>
        <v>-0.1065</v>
      </c>
      <c r="I17" s="9" t="n">
        <v>0.892</v>
      </c>
      <c r="J17" s="9" t="n">
        <f aca="false">'Hasil Akurasi'!G8</f>
        <v>0.8318</v>
      </c>
      <c r="K17" s="9" t="n">
        <f aca="false">J17-I17</f>
        <v>-0.0602</v>
      </c>
    </row>
    <row r="18" customFormat="false" ht="15" hidden="false" customHeight="false" outlineLevel="0" collapsed="false">
      <c r="B18" s="8" t="s">
        <v>301</v>
      </c>
      <c r="C18" s="7" t="n">
        <v>0.7322</v>
      </c>
      <c r="D18" s="7" t="n">
        <f aca="false">'Hasil Akurasi'!E9</f>
        <v>0.6246</v>
      </c>
      <c r="E18" s="10" t="n">
        <f aca="false">(D18-C18)*100</f>
        <v>-10.76</v>
      </c>
      <c r="F18" s="9" t="n">
        <v>0.6763</v>
      </c>
      <c r="G18" s="9" t="n">
        <f aca="false">'Hasil Akurasi'!F9</f>
        <v>0.5703</v>
      </c>
      <c r="H18" s="9" t="n">
        <f aca="false">G18-F18</f>
        <v>-0.106</v>
      </c>
      <c r="I18" s="9" t="n">
        <v>0.8891</v>
      </c>
      <c r="J18" s="9" t="n">
        <f aca="false">'Hasil Akurasi'!G9</f>
        <v>0.8331</v>
      </c>
      <c r="K18" s="9" t="n">
        <f aca="false">J18-I18</f>
        <v>-0.0560000000000001</v>
      </c>
    </row>
    <row r="19" customFormat="false" ht="15" hidden="false" customHeight="false" outlineLevel="0" collapsed="false">
      <c r="B19" s="16" t="s">
        <v>302</v>
      </c>
      <c r="C19" s="26" t="n">
        <f aca="false">AVERAGE(C15:C18)</f>
        <v>0.748625</v>
      </c>
      <c r="D19" s="26" t="n">
        <f aca="false">AVERAGE(D15:D18)</f>
        <v>0.64695</v>
      </c>
      <c r="E19" s="20" t="n">
        <f aca="false">AVERAGE(E15:E18)</f>
        <v>-10.1675</v>
      </c>
      <c r="F19" s="27" t="n">
        <f aca="false">AVERAGE(F15:F18)</f>
        <v>0.684575</v>
      </c>
      <c r="G19" s="27" t="n">
        <f aca="false">AVERAGE(G15:G18)</f>
        <v>0.581875</v>
      </c>
      <c r="H19" s="27" t="n">
        <f aca="false">AVERAGE(H15:H18)</f>
        <v>-0.1027</v>
      </c>
      <c r="I19" s="27" t="n">
        <f aca="false">AVERAGE(I15:I18)</f>
        <v>0.892475</v>
      </c>
      <c r="J19" s="27" t="n">
        <f aca="false">AVERAGE(J15:J18)</f>
        <v>0.835875</v>
      </c>
      <c r="K19" s="27" t="n">
        <f aca="false">AVERAGE(K15:K18)</f>
        <v>-0.0566</v>
      </c>
    </row>
    <row r="21" customFormat="false" ht="15" hidden="false" customHeight="false" outlineLevel="0" collapsed="false">
      <c r="B21" s="3" t="s">
        <v>385</v>
      </c>
    </row>
    <row r="22" customFormat="false" ht="45.75" hidden="false" customHeight="true" outlineLevel="0" collapsed="false">
      <c r="B22" s="4" t="s">
        <v>19</v>
      </c>
      <c r="C22" s="4" t="s">
        <v>386</v>
      </c>
      <c r="D22" s="4" t="s">
        <v>387</v>
      </c>
      <c r="E22" s="4" t="s">
        <v>388</v>
      </c>
      <c r="F22" s="4" t="s">
        <v>389</v>
      </c>
      <c r="G22" s="4" t="s">
        <v>390</v>
      </c>
      <c r="H22" s="4" t="s">
        <v>391</v>
      </c>
      <c r="I22" s="4" t="s">
        <v>392</v>
      </c>
      <c r="J22" s="4" t="s">
        <v>393</v>
      </c>
    </row>
    <row r="23" customFormat="false" ht="15" hidden="false" customHeight="false" outlineLevel="0" collapsed="false">
      <c r="B23" s="8" t="s">
        <v>298</v>
      </c>
      <c r="C23" s="10" t="n">
        <v>0.68</v>
      </c>
      <c r="D23" s="10" t="n">
        <f aca="false">SUMIFS('Per Kelas'!$E$6:$E$17,'Per Kelas'!$B$6:$B$17,$B23,'Per Kelas'!$C$6:$C$17,"melanoma")</f>
        <v>0.53</v>
      </c>
      <c r="E23" s="10" t="n">
        <v>0.65</v>
      </c>
      <c r="F23" s="10" t="n">
        <f aca="false">SUMIFS('Per Kelas'!$F$6:$F$17,'Per Kelas'!$B$6:$B$17,$B23,'Per Kelas'!$C$6:$C$17,"melanoma")</f>
        <v>0.56</v>
      </c>
      <c r="G23" s="10" t="n">
        <v>0.49</v>
      </c>
      <c r="H23" s="10" t="n">
        <f aca="false">SUMIFS('Per Kelas'!$D$6:$D$17,'Per Kelas'!$B$6:$B$17,$B23,'Per Kelas'!$C$6:$C$17,"seborrheic_keratosis")</f>
        <v>0.33</v>
      </c>
      <c r="I23" s="10" t="n">
        <v>0.57</v>
      </c>
      <c r="J23" s="10" t="n">
        <f aca="false">SUMIFS('Per Kelas'!$F$6:$F$17,'Per Kelas'!$B$6:$B$17,$B23,'Per Kelas'!$C$6:$C$17,"seborrheic_keratosis")</f>
        <v>0.45</v>
      </c>
    </row>
    <row r="24" customFormat="false" ht="15" hidden="false" customHeight="false" outlineLevel="0" collapsed="false">
      <c r="B24" s="8" t="s">
        <v>299</v>
      </c>
      <c r="C24" s="10" t="n">
        <v>0.66</v>
      </c>
      <c r="D24" s="10" t="n">
        <f aca="false">SUMIFS('Per Kelas'!$E$6:$E$17,'Per Kelas'!$B$6:$B$17,$B24,'Per Kelas'!$C$6:$C$17,"melanoma")</f>
        <v>0.51</v>
      </c>
      <c r="E24" s="10" t="n">
        <v>0.65</v>
      </c>
      <c r="F24" s="10" t="n">
        <f aca="false">SUMIFS('Per Kelas'!$F$6:$F$17,'Per Kelas'!$B$6:$B$17,$B24,'Per Kelas'!$C$6:$C$17,"melanoma")</f>
        <v>0.54</v>
      </c>
      <c r="G24" s="10" t="n">
        <v>0.5</v>
      </c>
      <c r="H24" s="10" t="n">
        <f aca="false">SUMIFS('Per Kelas'!$D$6:$D$17,'Per Kelas'!$B$6:$B$17,$B24,'Per Kelas'!$C$6:$C$17,"seborrheic_keratosis")</f>
        <v>0.3</v>
      </c>
      <c r="I24" s="10" t="n">
        <v>0.58</v>
      </c>
      <c r="J24" s="10" t="n">
        <f aca="false">SUMIFS('Per Kelas'!$F$6:$F$17,'Per Kelas'!$B$6:$B$17,$B24,'Per Kelas'!$C$6:$C$17,"seborrheic_keratosis")</f>
        <v>0.43</v>
      </c>
    </row>
    <row r="25" customFormat="false" ht="15" hidden="false" customHeight="false" outlineLevel="0" collapsed="false">
      <c r="B25" s="8" t="s">
        <v>300</v>
      </c>
      <c r="C25" s="10" t="n">
        <v>0.69</v>
      </c>
      <c r="D25" s="10" t="n">
        <f aca="false">SUMIFS('Per Kelas'!$E$6:$E$17,'Per Kelas'!$B$6:$B$17,$B25,'Per Kelas'!$C$6:$C$17,"melanoma")</f>
        <v>0.52</v>
      </c>
      <c r="E25" s="10" t="n">
        <v>0.65</v>
      </c>
      <c r="F25" s="10" t="n">
        <f aca="false">SUMIFS('Per Kelas'!$F$6:$F$17,'Per Kelas'!$B$6:$B$17,$B25,'Per Kelas'!$C$6:$C$17,"melanoma")</f>
        <v>0.53</v>
      </c>
      <c r="G25" s="10" t="n">
        <v>0.47</v>
      </c>
      <c r="H25" s="10" t="n">
        <f aca="false">SUMIFS('Per Kelas'!$D$6:$D$17,'Per Kelas'!$B$6:$B$17,$B25,'Per Kelas'!$C$6:$C$17,"seborrheic_keratosis")</f>
        <v>0.31</v>
      </c>
      <c r="I25" s="10" t="n">
        <v>0.55</v>
      </c>
      <c r="J25" s="10" t="n">
        <f aca="false">SUMIFS('Per Kelas'!$F$6:$F$17,'Per Kelas'!$B$6:$B$17,$B25,'Per Kelas'!$C$6:$C$17,"seborrheic_keratosis")</f>
        <v>0.42</v>
      </c>
    </row>
    <row r="26" customFormat="false" ht="15" hidden="false" customHeight="false" outlineLevel="0" collapsed="false">
      <c r="B26" s="8" t="s">
        <v>301</v>
      </c>
      <c r="C26" s="10" t="n">
        <v>0.71</v>
      </c>
      <c r="D26" s="10" t="n">
        <f aca="false">SUMIFS('Per Kelas'!$E$6:$E$17,'Per Kelas'!$B$6:$B$17,$B26,'Per Kelas'!$C$6:$C$17,"melanoma")</f>
        <v>0.57</v>
      </c>
      <c r="E26" s="10" t="n">
        <v>0.63</v>
      </c>
      <c r="F26" s="10" t="n">
        <f aca="false">SUMIFS('Per Kelas'!$F$6:$F$17,'Per Kelas'!$B$6:$B$17,$B26,'Per Kelas'!$C$6:$C$17,"melanoma")</f>
        <v>0.55</v>
      </c>
      <c r="G26" s="10" t="n">
        <v>0.5</v>
      </c>
      <c r="H26" s="10" t="n">
        <f aca="false">SUMIFS('Per Kelas'!$D$6:$D$17,'Per Kelas'!$B$6:$B$17,$B26,'Per Kelas'!$C$6:$C$17,"seborrheic_keratosis")</f>
        <v>0.3</v>
      </c>
      <c r="I26" s="10" t="n">
        <v>0.58</v>
      </c>
      <c r="J26" s="10" t="n">
        <f aca="false">SUMIFS('Per Kelas'!$F$6:$F$17,'Per Kelas'!$B$6:$B$17,$B26,'Per Kelas'!$C$6:$C$17,"seborrheic_keratosis")</f>
        <v>0.42</v>
      </c>
    </row>
    <row r="27" customFormat="false" ht="15" hidden="false" customHeight="false" outlineLevel="0" collapsed="false">
      <c r="B27" s="16" t="s">
        <v>302</v>
      </c>
      <c r="C27" s="20" t="n">
        <f aca="false">AVERAGE(C23:C26)</f>
        <v>0.685</v>
      </c>
      <c r="D27" s="20" t="n">
        <f aca="false">AVERAGE(D23:D26)</f>
        <v>0.5325</v>
      </c>
      <c r="E27" s="20" t="n">
        <f aca="false">AVERAGE(E23:E26)</f>
        <v>0.645</v>
      </c>
      <c r="F27" s="20" t="n">
        <f aca="false">AVERAGE(F23:F26)</f>
        <v>0.545</v>
      </c>
      <c r="G27" s="20" t="n">
        <f aca="false">AVERAGE(G23:G26)</f>
        <v>0.49</v>
      </c>
      <c r="H27" s="20" t="n">
        <f aca="false">AVERAGE(H23:H26)</f>
        <v>0.31</v>
      </c>
      <c r="I27" s="20" t="n">
        <f aca="false">AVERAGE(I23:I26)</f>
        <v>0.57</v>
      </c>
      <c r="J27" s="20" t="n">
        <f aca="false">AVERAGE(J23:J26)</f>
        <v>0.43</v>
      </c>
    </row>
    <row r="29" customFormat="false" ht="15" hidden="false" customHeight="false" outlineLevel="0" collapsed="false">
      <c r="B29" s="3" t="s">
        <v>394</v>
      </c>
    </row>
    <row r="30" customFormat="false" ht="31.5" hidden="false" customHeight="true" outlineLevel="0" collapsed="false">
      <c r="B30" s="4" t="s">
        <v>19</v>
      </c>
      <c r="C30" s="4" t="s">
        <v>395</v>
      </c>
      <c r="D30" s="4" t="s">
        <v>396</v>
      </c>
      <c r="E30" s="4" t="s">
        <v>397</v>
      </c>
      <c r="F30" s="4" t="s">
        <v>398</v>
      </c>
    </row>
    <row r="31" customFormat="false" ht="15" hidden="false" customHeight="false" outlineLevel="0" collapsed="false">
      <c r="B31" s="8" t="s">
        <v>298</v>
      </c>
      <c r="C31" s="9" t="n">
        <v>1.4174</v>
      </c>
      <c r="D31" s="9" t="n">
        <f aca="false">SUMIFS('Log Training'!$E$6:$E$45,'Log Training'!$B$6:$B$45,$B31,'Log Training'!$C$6:$C$45,10)</f>
        <v>1.696</v>
      </c>
      <c r="E31" s="9" t="n">
        <v>1.5162</v>
      </c>
      <c r="F31" s="9" t="n">
        <f aca="false">SUMIFS('Log Training'!$G$6:$G$45,'Log Training'!$B$6:$B$45,$B31,'Log Training'!$C$6:$C$45,10)</f>
        <v>1.6346</v>
      </c>
    </row>
    <row r="32" customFormat="false" ht="15" hidden="false" customHeight="false" outlineLevel="0" collapsed="false">
      <c r="B32" s="8" t="s">
        <v>299</v>
      </c>
      <c r="C32" s="9" t="n">
        <v>1.3891</v>
      </c>
      <c r="D32" s="9" t="n">
        <f aca="false">SUMIFS('Log Training'!$E$6:$E$45,'Log Training'!$B$6:$B$45,$B32,'Log Training'!$C$6:$C$45,10)</f>
        <v>1.6704</v>
      </c>
      <c r="E32" s="9" t="n">
        <v>1.4864</v>
      </c>
      <c r="F32" s="9" t="n">
        <f aca="false">SUMIFS('Log Training'!$G$6:$G$45,'Log Training'!$B$6:$B$45,$B32,'Log Training'!$C$6:$C$45,10)</f>
        <v>1.6333</v>
      </c>
    </row>
    <row r="33" customFormat="false" ht="15" hidden="false" customHeight="false" outlineLevel="0" collapsed="false">
      <c r="B33" s="8" t="s">
        <v>300</v>
      </c>
      <c r="C33" s="9" t="n">
        <v>1.4088</v>
      </c>
      <c r="D33" s="9" t="n">
        <f aca="false">SUMIFS('Log Training'!$E$6:$E$45,'Log Training'!$B$6:$B$45,$B33,'Log Training'!$C$6:$C$45,10)</f>
        <v>1.6722</v>
      </c>
      <c r="E33" s="9" t="n">
        <v>1.538</v>
      </c>
      <c r="F33" s="9" t="n">
        <f aca="false">SUMIFS('Log Training'!$G$6:$G$45,'Log Training'!$B$6:$B$45,$B33,'Log Training'!$C$6:$C$45,10)</f>
        <v>1.6506</v>
      </c>
    </row>
    <row r="34" customFormat="false" ht="15" hidden="false" customHeight="false" outlineLevel="0" collapsed="false">
      <c r="B34" s="8" t="s">
        <v>301</v>
      </c>
      <c r="C34" s="9" t="n">
        <v>1.3924</v>
      </c>
      <c r="D34" s="9" t="n">
        <f aca="false">SUMIFS('Log Training'!$E$6:$E$45,'Log Training'!$B$6:$B$45,$B34,'Log Training'!$C$6:$C$45,10)</f>
        <v>1.7047</v>
      </c>
      <c r="E34" s="9" t="n">
        <v>1.5299</v>
      </c>
      <c r="F34" s="9" t="n">
        <f aca="false">SUMIFS('Log Training'!$G$6:$G$45,'Log Training'!$B$6:$B$45,$B34,'Log Training'!$C$6:$C$45,10)</f>
        <v>1.6903</v>
      </c>
    </row>
    <row r="35" customFormat="false" ht="15" hidden="false" customHeight="false" outlineLevel="0" collapsed="false">
      <c r="B35" s="16" t="s">
        <v>302</v>
      </c>
      <c r="C35" s="27" t="n">
        <f aca="false">AVERAGE(C31:C34)</f>
        <v>1.401925</v>
      </c>
      <c r="D35" s="27" t="n">
        <f aca="false">AVERAGE(D31:D34)</f>
        <v>1.685825</v>
      </c>
      <c r="E35" s="27" t="n">
        <f aca="false">AVERAGE(E31:E34)</f>
        <v>1.517625</v>
      </c>
      <c r="F35" s="27" t="n">
        <f aca="false">AVERAGE(F31:F34)</f>
        <v>1.6522</v>
      </c>
    </row>
    <row r="37" customFormat="false" ht="15" hidden="false" customHeight="false" outlineLevel="0" collapsed="false">
      <c r="B37" s="3" t="s">
        <v>311</v>
      </c>
    </row>
    <row r="38" customFormat="false" ht="15" hidden="false" customHeight="false" outlineLevel="0" collapsed="false">
      <c r="B38" s="25" t="s">
        <v>399</v>
      </c>
    </row>
    <row r="39" customFormat="false" ht="15" hidden="false" customHeight="false" outlineLevel="0" collapsed="false">
      <c r="B39" s="25" t="s">
        <v>400</v>
      </c>
    </row>
    <row r="40" customFormat="false" ht="15" hidden="false" customHeight="false" outlineLevel="0" collapsed="false">
      <c r="B40" s="25" t="s">
        <v>401</v>
      </c>
    </row>
    <row r="41" customFormat="false" ht="15" hidden="false" customHeight="false" outlineLevel="0" collapsed="false">
      <c r="B41" s="25" t="s">
        <v>402</v>
      </c>
    </row>
    <row r="42" customFormat="false" ht="15" hidden="false" customHeight="false" outlineLevel="0" collapsed="false">
      <c r="B42" s="25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6" min="3" style="0" width="12"/>
  </cols>
  <sheetData>
    <row r="2" customFormat="false" ht="24" hidden="false" customHeight="true" outlineLevel="0" collapsed="false">
      <c r="B2" s="1" t="s">
        <v>404</v>
      </c>
    </row>
    <row r="3" customFormat="false" ht="15" hidden="false" customHeight="false" outlineLevel="0" collapsed="false">
      <c r="B3" s="2" t="s">
        <v>405</v>
      </c>
    </row>
    <row r="4" customFormat="false" ht="15" hidden="false" customHeight="false" outlineLevel="0" collapsed="false">
      <c r="B4" s="3" t="s">
        <v>406</v>
      </c>
    </row>
    <row r="5" customFormat="false" ht="21" hidden="false" customHeight="true" outlineLevel="0" collapsed="false">
      <c r="B5" s="4" t="s">
        <v>328</v>
      </c>
      <c r="C5" s="4" t="s">
        <v>298</v>
      </c>
      <c r="D5" s="4" t="s">
        <v>299</v>
      </c>
      <c r="E5" s="4" t="s">
        <v>300</v>
      </c>
      <c r="F5" s="4" t="s">
        <v>301</v>
      </c>
    </row>
    <row r="6" customFormat="false" ht="15" hidden="false" customHeight="false" outlineLevel="0" collapsed="false">
      <c r="B6" s="8" t="n">
        <v>1</v>
      </c>
      <c r="C6" s="9" t="n">
        <f aca="false">SUMIFS('Log Training'!$F$6:$F$45,'Log Training'!$B$6:$B$45,C$5,'Log Training'!$C$6:$C$45,$B6)</f>
        <v>0.6099</v>
      </c>
      <c r="D6" s="9" t="n">
        <f aca="false">SUMIFS('Log Training'!$F$6:$F$45,'Log Training'!$B$6:$B$45,D$5,'Log Training'!$C$6:$C$45,$B6)</f>
        <v>0.5575</v>
      </c>
      <c r="E6" s="9" t="n">
        <f aca="false">SUMIFS('Log Training'!$F$6:$F$45,'Log Training'!$B$6:$B$45,E$5,'Log Training'!$C$6:$C$45,$B6)</f>
        <v>0.6223</v>
      </c>
      <c r="F6" s="9" t="n">
        <f aca="false">SUMIFS('Log Training'!$F$6:$F$45,'Log Training'!$B$6:$B$45,F$5,'Log Training'!$C$6:$C$45,$B6)</f>
        <v>0.6437</v>
      </c>
    </row>
    <row r="7" customFormat="false" ht="15" hidden="false" customHeight="false" outlineLevel="0" collapsed="false">
      <c r="B7" s="8" t="n">
        <v>2</v>
      </c>
      <c r="C7" s="9" t="n">
        <f aca="false">SUMIFS('Log Training'!$F$6:$F$45,'Log Training'!$B$6:$B$45,C$5,'Log Training'!$C$6:$C$45,$B7)</f>
        <v>0.5958</v>
      </c>
      <c r="D7" s="9" t="n">
        <f aca="false">SUMIFS('Log Training'!$F$6:$F$45,'Log Training'!$B$6:$B$45,D$5,'Log Training'!$C$6:$C$45,$B7)</f>
        <v>0.6172</v>
      </c>
      <c r="E7" s="9" t="n">
        <f aca="false">SUMIFS('Log Training'!$F$6:$F$45,'Log Training'!$B$6:$B$45,E$5,'Log Training'!$C$6:$C$45,$B7)</f>
        <v>0.615</v>
      </c>
      <c r="F7" s="9" t="n">
        <f aca="false">SUMIFS('Log Training'!$F$6:$F$45,'Log Training'!$B$6:$B$45,F$5,'Log Training'!$C$6:$C$45,$B7)</f>
        <v>0.609</v>
      </c>
    </row>
    <row r="8" customFormat="false" ht="15" hidden="false" customHeight="false" outlineLevel="0" collapsed="false">
      <c r="B8" s="8" t="n">
        <v>3</v>
      </c>
      <c r="C8" s="9" t="n">
        <f aca="false">SUMIFS('Log Training'!$F$6:$F$45,'Log Training'!$B$6:$B$45,C$5,'Log Training'!$C$6:$C$45,$B8)</f>
        <v>0.656</v>
      </c>
      <c r="D8" s="9" t="n">
        <f aca="false">SUMIFS('Log Training'!$F$6:$F$45,'Log Training'!$B$6:$B$45,D$5,'Log Training'!$C$6:$C$45,$B8)</f>
        <v>0.6072</v>
      </c>
      <c r="E8" s="9" t="n">
        <f aca="false">SUMIFS('Log Training'!$F$6:$F$45,'Log Training'!$B$6:$B$45,E$5,'Log Training'!$C$6:$C$45,$B8)</f>
        <v>0.6396</v>
      </c>
      <c r="F8" s="9" t="n">
        <f aca="false">SUMIFS('Log Training'!$F$6:$F$45,'Log Training'!$B$6:$B$45,F$5,'Log Training'!$C$6:$C$45,$B8)</f>
        <v>0.635</v>
      </c>
    </row>
    <row r="9" customFormat="false" ht="15" hidden="false" customHeight="false" outlineLevel="0" collapsed="false">
      <c r="B9" s="8" t="n">
        <v>4</v>
      </c>
      <c r="C9" s="9" t="n">
        <f aca="false">SUMIFS('Log Training'!$F$6:$F$45,'Log Training'!$B$6:$B$45,C$5,'Log Training'!$C$6:$C$45,$B9)</f>
        <v>0.6318</v>
      </c>
      <c r="D9" s="9" t="n">
        <f aca="false">SUMIFS('Log Training'!$F$6:$F$45,'Log Training'!$B$6:$B$45,D$5,'Log Training'!$C$6:$C$45,$B9)</f>
        <v>0.6045</v>
      </c>
      <c r="E9" s="9" t="n">
        <f aca="false">SUMIFS('Log Training'!$F$6:$F$45,'Log Training'!$B$6:$B$45,E$5,'Log Training'!$C$6:$C$45,$B9)</f>
        <v>0.6515</v>
      </c>
      <c r="F9" s="9" t="n">
        <f aca="false">SUMIFS('Log Training'!$F$6:$F$45,'Log Training'!$B$6:$B$45,F$5,'Log Training'!$C$6:$C$45,$B9)</f>
        <v>0.6036</v>
      </c>
    </row>
    <row r="10" customFormat="false" ht="15" hidden="false" customHeight="false" outlineLevel="0" collapsed="false">
      <c r="B10" s="8" t="n">
        <v>5</v>
      </c>
      <c r="C10" s="9" t="n">
        <f aca="false">SUMIFS('Log Training'!$F$6:$F$45,'Log Training'!$B$6:$B$45,C$5,'Log Training'!$C$6:$C$45,$B10)</f>
        <v>0.6373</v>
      </c>
      <c r="D10" s="9" t="n">
        <f aca="false">SUMIFS('Log Training'!$F$6:$F$45,'Log Training'!$B$6:$B$45,D$5,'Log Training'!$C$6:$C$45,$B10)</f>
        <v>0.6277</v>
      </c>
      <c r="E10" s="9" t="n">
        <f aca="false">SUMIFS('Log Training'!$F$6:$F$45,'Log Training'!$B$6:$B$45,E$5,'Log Training'!$C$6:$C$45,$B10)</f>
        <v>0.6556</v>
      </c>
      <c r="F10" s="9" t="n">
        <f aca="false">SUMIFS('Log Training'!$F$6:$F$45,'Log Training'!$B$6:$B$45,F$5,'Log Training'!$C$6:$C$45,$B10)</f>
        <v>0.6227</v>
      </c>
    </row>
    <row r="11" customFormat="false" ht="15" hidden="false" customHeight="false" outlineLevel="0" collapsed="false">
      <c r="B11" s="8" t="n">
        <v>6</v>
      </c>
      <c r="C11" s="9" t="n">
        <f aca="false">SUMIFS('Log Training'!$F$6:$F$45,'Log Training'!$B$6:$B$45,C$5,'Log Training'!$C$6:$C$45,$B11)</f>
        <v>0.6451</v>
      </c>
      <c r="D11" s="9" t="n">
        <f aca="false">SUMIFS('Log Training'!$F$6:$F$45,'Log Training'!$B$6:$B$45,D$5,'Log Training'!$C$6:$C$45,$B11)</f>
        <v>0.6382</v>
      </c>
      <c r="E11" s="9" t="n">
        <f aca="false">SUMIFS('Log Training'!$F$6:$F$45,'Log Training'!$B$6:$B$45,E$5,'Log Training'!$C$6:$C$45,$B11)</f>
        <v>0.6592</v>
      </c>
      <c r="F11" s="9" t="n">
        <f aca="false">SUMIFS('Log Training'!$F$6:$F$45,'Log Training'!$B$6:$B$45,F$5,'Log Training'!$C$6:$C$45,$B11)</f>
        <v>0.6259</v>
      </c>
    </row>
    <row r="12" customFormat="false" ht="15" hidden="false" customHeight="false" outlineLevel="0" collapsed="false">
      <c r="B12" s="8" t="n">
        <v>7</v>
      </c>
      <c r="C12" s="9" t="n">
        <f aca="false">SUMIFS('Log Training'!$F$6:$F$45,'Log Training'!$B$6:$B$45,C$5,'Log Training'!$C$6:$C$45,$B12)</f>
        <v>0.6597</v>
      </c>
      <c r="D12" s="9" t="n">
        <f aca="false">SUMIFS('Log Training'!$F$6:$F$45,'Log Training'!$B$6:$B$45,D$5,'Log Training'!$C$6:$C$45,$B12)</f>
        <v>0.6255</v>
      </c>
      <c r="E12" s="9" t="n">
        <f aca="false">SUMIFS('Log Training'!$F$6:$F$45,'Log Training'!$B$6:$B$45,E$5,'Log Training'!$C$6:$C$45,$B12)</f>
        <v>0.63</v>
      </c>
      <c r="F12" s="9" t="n">
        <f aca="false">SUMIFS('Log Training'!$F$6:$F$45,'Log Training'!$B$6:$B$45,F$5,'Log Training'!$C$6:$C$45,$B12)</f>
        <v>0.6332</v>
      </c>
    </row>
    <row r="13" customFormat="false" ht="15" hidden="false" customHeight="false" outlineLevel="0" collapsed="false">
      <c r="B13" s="8" t="n">
        <v>8</v>
      </c>
      <c r="C13" s="9" t="n">
        <f aca="false">SUMIFS('Log Training'!$F$6:$F$45,'Log Training'!$B$6:$B$45,C$5,'Log Training'!$C$6:$C$45,$B13)</f>
        <v>0.6651</v>
      </c>
      <c r="D13" s="9" t="n">
        <f aca="false">SUMIFS('Log Training'!$F$6:$F$45,'Log Training'!$B$6:$B$45,D$5,'Log Training'!$C$6:$C$45,$B13)</f>
        <v>0.6168</v>
      </c>
      <c r="E13" s="9" t="n">
        <f aca="false">SUMIFS('Log Training'!$F$6:$F$45,'Log Training'!$B$6:$B$45,E$5,'Log Training'!$C$6:$C$45,$B13)</f>
        <v>0.6359</v>
      </c>
      <c r="F13" s="9" t="n">
        <f aca="false">SUMIFS('Log Training'!$F$6:$F$45,'Log Training'!$B$6:$B$45,F$5,'Log Training'!$C$6:$C$45,$B13)</f>
        <v>0.6195</v>
      </c>
    </row>
    <row r="14" customFormat="false" ht="15" hidden="false" customHeight="false" outlineLevel="0" collapsed="false">
      <c r="B14" s="8" t="n">
        <v>9</v>
      </c>
      <c r="C14" s="9" t="n">
        <f aca="false">SUMIFS('Log Training'!$F$6:$F$45,'Log Training'!$B$6:$B$45,C$5,'Log Training'!$C$6:$C$45,$B14)</f>
        <v>0.6505</v>
      </c>
      <c r="D14" s="9" t="n">
        <f aca="false">SUMIFS('Log Training'!$F$6:$F$45,'Log Training'!$B$6:$B$45,D$5,'Log Training'!$C$6:$C$45,$B14)</f>
        <v>0.6227</v>
      </c>
      <c r="E14" s="9" t="n">
        <f aca="false">SUMIFS('Log Training'!$F$6:$F$45,'Log Training'!$B$6:$B$45,E$5,'Log Training'!$C$6:$C$45,$B14)</f>
        <v>0.6469</v>
      </c>
      <c r="F14" s="9" t="n">
        <f aca="false">SUMIFS('Log Training'!$F$6:$F$45,'Log Training'!$B$6:$B$45,F$5,'Log Training'!$C$6:$C$45,$B14)</f>
        <v>0.6227</v>
      </c>
    </row>
    <row r="15" customFormat="false" ht="15" hidden="false" customHeight="false" outlineLevel="0" collapsed="false">
      <c r="B15" s="8" t="n">
        <v>10</v>
      </c>
      <c r="C15" s="9" t="n">
        <f aca="false">SUMIFS('Log Training'!$F$6:$F$45,'Log Training'!$B$6:$B$45,C$5,'Log Training'!$C$6:$C$45,$B15)</f>
        <v>0.6743</v>
      </c>
      <c r="D15" s="9" t="n">
        <f aca="false">SUMIFS('Log Training'!$F$6:$F$45,'Log Training'!$B$6:$B$45,D$5,'Log Training'!$C$6:$C$45,$B15)</f>
        <v>0.646</v>
      </c>
      <c r="E15" s="9" t="n">
        <f aca="false">SUMIFS('Log Training'!$F$6:$F$45,'Log Training'!$B$6:$B$45,E$5,'Log Training'!$C$6:$C$45,$B15)</f>
        <v>0.6505</v>
      </c>
      <c r="F15" s="9" t="n">
        <f aca="false">SUMIFS('Log Training'!$F$6:$F$45,'Log Training'!$B$6:$B$45,F$5,'Log Training'!$C$6:$C$45,$B15)</f>
        <v>0.6168</v>
      </c>
    </row>
    <row r="18" customFormat="false" ht="15" hidden="false" customHeight="false" outlineLevel="0" collapsed="false">
      <c r="B18" s="3" t="s">
        <v>407</v>
      </c>
    </row>
    <row r="19" customFormat="false" ht="21" hidden="false" customHeight="true" outlineLevel="0" collapsed="false">
      <c r="B19" s="4" t="s">
        <v>328</v>
      </c>
      <c r="C19" s="4" t="s">
        <v>298</v>
      </c>
      <c r="D19" s="4" t="s">
        <v>299</v>
      </c>
      <c r="E19" s="4" t="s">
        <v>300</v>
      </c>
      <c r="F19" s="4" t="s">
        <v>301</v>
      </c>
    </row>
    <row r="20" customFormat="false" ht="15" hidden="false" customHeight="false" outlineLevel="0" collapsed="false">
      <c r="B20" s="8" t="n">
        <v>1</v>
      </c>
      <c r="C20" s="9" t="n">
        <f aca="false">SUMIFS('Log Training'!$G$6:$G$45,'Log Training'!$B$6:$B$45,C$19,'Log Training'!$C$6:$C$45,$B20)</f>
        <v>2.0732</v>
      </c>
      <c r="D20" s="9" t="n">
        <f aca="false">SUMIFS('Log Training'!$G$6:$G$45,'Log Training'!$B$6:$B$45,D$19,'Log Training'!$C$6:$C$45,$B20)</f>
        <v>2.163</v>
      </c>
      <c r="E20" s="9" t="n">
        <f aca="false">SUMIFS('Log Training'!$G$6:$G$45,'Log Training'!$B$6:$B$45,E$19,'Log Training'!$C$6:$C$45,$B20)</f>
        <v>2.0817</v>
      </c>
      <c r="F20" s="9" t="n">
        <f aca="false">SUMIFS('Log Training'!$G$6:$G$45,'Log Training'!$B$6:$B$45,F$19,'Log Training'!$C$6:$C$45,$B20)</f>
        <v>2.0275</v>
      </c>
    </row>
    <row r="21" customFormat="false" ht="15" hidden="false" customHeight="false" outlineLevel="0" collapsed="false">
      <c r="B21" s="8" t="n">
        <v>2</v>
      </c>
      <c r="C21" s="9" t="n">
        <f aca="false">SUMIFS('Log Training'!$G$6:$G$45,'Log Training'!$B$6:$B$45,C$19,'Log Training'!$C$6:$C$45,$B21)</f>
        <v>2.0694</v>
      </c>
      <c r="D21" s="9" t="n">
        <f aca="false">SUMIFS('Log Training'!$G$6:$G$45,'Log Training'!$B$6:$B$45,D$19,'Log Training'!$C$6:$C$45,$B21)</f>
        <v>2.0303</v>
      </c>
      <c r="E21" s="9" t="n">
        <f aca="false">SUMIFS('Log Training'!$G$6:$G$45,'Log Training'!$B$6:$B$45,E$19,'Log Training'!$C$6:$C$45,$B21)</f>
        <v>2.0393</v>
      </c>
      <c r="F21" s="9" t="n">
        <f aca="false">SUMIFS('Log Training'!$G$6:$G$45,'Log Training'!$B$6:$B$45,F$19,'Log Training'!$C$6:$C$45,$B21)</f>
        <v>2.0515</v>
      </c>
    </row>
    <row r="22" customFormat="false" ht="15" hidden="false" customHeight="false" outlineLevel="0" collapsed="false">
      <c r="B22" s="8" t="n">
        <v>3</v>
      </c>
      <c r="C22" s="9" t="n">
        <f aca="false">SUMIFS('Log Training'!$G$6:$G$45,'Log Training'!$B$6:$B$45,C$19,'Log Training'!$C$6:$C$45,$B22)</f>
        <v>1.9641</v>
      </c>
      <c r="D22" s="9" t="n">
        <f aca="false">SUMIFS('Log Training'!$G$6:$G$45,'Log Training'!$B$6:$B$45,D$19,'Log Training'!$C$6:$C$45,$B22)</f>
        <v>1.9886</v>
      </c>
      <c r="E22" s="9" t="n">
        <f aca="false">SUMIFS('Log Training'!$G$6:$G$45,'Log Training'!$B$6:$B$45,E$19,'Log Training'!$C$6:$C$45,$B22)</f>
        <v>1.9863</v>
      </c>
      <c r="F22" s="9" t="n">
        <f aca="false">SUMIFS('Log Training'!$G$6:$G$45,'Log Training'!$B$6:$B$45,F$19,'Log Training'!$C$6:$C$45,$B22)</f>
        <v>1.989</v>
      </c>
    </row>
    <row r="23" customFormat="false" ht="15" hidden="false" customHeight="false" outlineLevel="0" collapsed="false">
      <c r="B23" s="8" t="n">
        <v>4</v>
      </c>
      <c r="C23" s="9" t="n">
        <f aca="false">SUMIFS('Log Training'!$G$6:$G$45,'Log Training'!$B$6:$B$45,C$19,'Log Training'!$C$6:$C$45,$B23)</f>
        <v>1.9632</v>
      </c>
      <c r="D23" s="9" t="n">
        <f aca="false">SUMIFS('Log Training'!$G$6:$G$45,'Log Training'!$B$6:$B$45,D$19,'Log Training'!$C$6:$C$45,$B23)</f>
        <v>1.9739</v>
      </c>
      <c r="E23" s="9" t="n">
        <f aca="false">SUMIFS('Log Training'!$G$6:$G$45,'Log Training'!$B$6:$B$45,E$19,'Log Training'!$C$6:$C$45,$B23)</f>
        <v>1.9398</v>
      </c>
      <c r="F23" s="9" t="n">
        <f aca="false">SUMIFS('Log Training'!$G$6:$G$45,'Log Training'!$B$6:$B$45,F$19,'Log Training'!$C$6:$C$45,$B23)</f>
        <v>1.9876</v>
      </c>
    </row>
    <row r="24" customFormat="false" ht="15" hidden="false" customHeight="false" outlineLevel="0" collapsed="false">
      <c r="B24" s="8" t="n">
        <v>5</v>
      </c>
      <c r="C24" s="9" t="n">
        <f aca="false">SUMIFS('Log Training'!$G$6:$G$45,'Log Training'!$B$6:$B$45,C$19,'Log Training'!$C$6:$C$45,$B24)</f>
        <v>1.9131</v>
      </c>
      <c r="D24" s="9" t="n">
        <f aca="false">SUMIFS('Log Training'!$G$6:$G$45,'Log Training'!$B$6:$B$45,D$19,'Log Training'!$C$6:$C$45,$B24)</f>
        <v>1.8978</v>
      </c>
      <c r="E24" s="9" t="n">
        <f aca="false">SUMIFS('Log Training'!$G$6:$G$45,'Log Training'!$B$6:$B$45,E$19,'Log Training'!$C$6:$C$45,$B24)</f>
        <v>1.8867</v>
      </c>
      <c r="F24" s="9" t="n">
        <f aca="false">SUMIFS('Log Training'!$G$6:$G$45,'Log Training'!$B$6:$B$45,F$19,'Log Training'!$C$6:$C$45,$B24)</f>
        <v>1.9366</v>
      </c>
    </row>
    <row r="25" customFormat="false" ht="15" hidden="false" customHeight="false" outlineLevel="0" collapsed="false">
      <c r="B25" s="8" t="n">
        <v>6</v>
      </c>
      <c r="C25" s="9" t="n">
        <f aca="false">SUMIFS('Log Training'!$G$6:$G$45,'Log Training'!$B$6:$B$45,C$19,'Log Training'!$C$6:$C$45,$B25)</f>
        <v>1.8659</v>
      </c>
      <c r="D25" s="9" t="n">
        <f aca="false">SUMIFS('Log Training'!$G$6:$G$45,'Log Training'!$B$6:$B$45,D$19,'Log Training'!$C$6:$C$45,$B25)</f>
        <v>1.8554</v>
      </c>
      <c r="E25" s="9" t="n">
        <f aca="false">SUMIFS('Log Training'!$G$6:$G$45,'Log Training'!$B$6:$B$45,E$19,'Log Training'!$C$6:$C$45,$B25)</f>
        <v>1.8579</v>
      </c>
      <c r="F25" s="9" t="n">
        <f aca="false">SUMIFS('Log Training'!$G$6:$G$45,'Log Training'!$B$6:$B$45,F$19,'Log Training'!$C$6:$C$45,$B25)</f>
        <v>1.8802</v>
      </c>
    </row>
    <row r="26" customFormat="false" ht="15" hidden="false" customHeight="false" outlineLevel="0" collapsed="false">
      <c r="B26" s="8" t="n">
        <v>7</v>
      </c>
      <c r="C26" s="9" t="n">
        <f aca="false">SUMIFS('Log Training'!$G$6:$G$45,'Log Training'!$B$6:$B$45,C$19,'Log Training'!$C$6:$C$45,$B26)</f>
        <v>1.7959</v>
      </c>
      <c r="D26" s="9" t="n">
        <f aca="false">SUMIFS('Log Training'!$G$6:$G$45,'Log Training'!$B$6:$B$45,D$19,'Log Training'!$C$6:$C$45,$B26)</f>
        <v>1.8219</v>
      </c>
      <c r="E26" s="9" t="n">
        <f aca="false">SUMIFS('Log Training'!$G$6:$G$45,'Log Training'!$B$6:$B$45,E$19,'Log Training'!$C$6:$C$45,$B26)</f>
        <v>1.807</v>
      </c>
      <c r="F26" s="9" t="n">
        <f aca="false">SUMIFS('Log Training'!$G$6:$G$45,'Log Training'!$B$6:$B$45,F$19,'Log Training'!$C$6:$C$45,$B26)</f>
        <v>1.8242</v>
      </c>
    </row>
    <row r="27" customFormat="false" ht="15" hidden="false" customHeight="false" outlineLevel="0" collapsed="false">
      <c r="B27" s="8" t="n">
        <v>8</v>
      </c>
      <c r="C27" s="9" t="n">
        <f aca="false">SUMIFS('Log Training'!$G$6:$G$45,'Log Training'!$B$6:$B$45,C$19,'Log Training'!$C$6:$C$45,$B27)</f>
        <v>1.7495</v>
      </c>
      <c r="D27" s="9" t="n">
        <f aca="false">SUMIFS('Log Training'!$G$6:$G$45,'Log Training'!$B$6:$B$45,D$19,'Log Training'!$C$6:$C$45,$B27)</f>
        <v>1.7819</v>
      </c>
      <c r="E27" s="9" t="n">
        <f aca="false">SUMIFS('Log Training'!$G$6:$G$45,'Log Training'!$B$6:$B$45,E$19,'Log Training'!$C$6:$C$45,$B27)</f>
        <v>1.7541</v>
      </c>
      <c r="F27" s="9" t="n">
        <f aca="false">SUMIFS('Log Training'!$G$6:$G$45,'Log Training'!$B$6:$B$45,F$19,'Log Training'!$C$6:$C$45,$B27)</f>
        <v>1.7837</v>
      </c>
    </row>
    <row r="28" customFormat="false" ht="15" hidden="false" customHeight="false" outlineLevel="0" collapsed="false">
      <c r="B28" s="8" t="n">
        <v>9</v>
      </c>
      <c r="C28" s="9" t="n">
        <f aca="false">SUMIFS('Log Training'!$G$6:$G$45,'Log Training'!$B$6:$B$45,C$19,'Log Training'!$C$6:$C$45,$B28)</f>
        <v>1.7244</v>
      </c>
      <c r="D28" s="9" t="n">
        <f aca="false">SUMIFS('Log Training'!$G$6:$G$45,'Log Training'!$B$6:$B$45,D$19,'Log Training'!$C$6:$C$45,$B28)</f>
        <v>1.7155</v>
      </c>
      <c r="E28" s="9" t="n">
        <f aca="false">SUMIFS('Log Training'!$G$6:$G$45,'Log Training'!$B$6:$B$45,E$19,'Log Training'!$C$6:$C$45,$B28)</f>
        <v>1.6835</v>
      </c>
      <c r="F28" s="9" t="n">
        <f aca="false">SUMIFS('Log Training'!$G$6:$G$45,'Log Training'!$B$6:$B$45,F$19,'Log Training'!$C$6:$C$45,$B28)</f>
        <v>1.7346</v>
      </c>
    </row>
    <row r="29" customFormat="false" ht="15" hidden="false" customHeight="false" outlineLevel="0" collapsed="false">
      <c r="B29" s="8" t="n">
        <v>10</v>
      </c>
      <c r="C29" s="9" t="n">
        <f aca="false">SUMIFS('Log Training'!$G$6:$G$45,'Log Training'!$B$6:$B$45,C$19,'Log Training'!$C$6:$C$45,$B29)</f>
        <v>1.6346</v>
      </c>
      <c r="D29" s="9" t="n">
        <f aca="false">SUMIFS('Log Training'!$G$6:$G$45,'Log Training'!$B$6:$B$45,D$19,'Log Training'!$C$6:$C$45,$B29)</f>
        <v>1.6333</v>
      </c>
      <c r="E29" s="9" t="n">
        <f aca="false">SUMIFS('Log Training'!$G$6:$G$45,'Log Training'!$B$6:$B$45,E$19,'Log Training'!$C$6:$C$45,$B29)</f>
        <v>1.6506</v>
      </c>
      <c r="F29" s="9" t="n">
        <f aca="false">SUMIFS('Log Training'!$G$6:$G$45,'Log Training'!$B$6:$B$45,F$19,'Log Training'!$C$6:$C$45,$B29)</f>
        <v>1.6903</v>
      </c>
    </row>
    <row r="32" customFormat="false" ht="15" hidden="false" customHeight="false" outlineLevel="0" collapsed="false">
      <c r="B32" s="3" t="s">
        <v>408</v>
      </c>
    </row>
    <row r="33" customFormat="false" ht="21" hidden="false" customHeight="true" outlineLevel="0" collapsed="false">
      <c r="B33" s="4" t="s">
        <v>19</v>
      </c>
      <c r="C33" s="4" t="s">
        <v>321</v>
      </c>
      <c r="D33" s="4" t="s">
        <v>176</v>
      </c>
    </row>
    <row r="34" customFormat="false" ht="15" hidden="false" customHeight="false" outlineLevel="0" collapsed="false">
      <c r="B34" s="8" t="str">
        <f aca="false">'Hasil Akurasi'!B6</f>
        <v>2W2P</v>
      </c>
      <c r="C34" s="7" t="n">
        <f aca="false">'Hasil Akurasi'!E6</f>
        <v>0.6754</v>
      </c>
      <c r="D34" s="9" t="n">
        <f aca="false">'Hasil Akurasi'!F6</f>
        <v>0.6026</v>
      </c>
    </row>
    <row r="35" customFormat="false" ht="15" hidden="false" customHeight="false" outlineLevel="0" collapsed="false">
      <c r="B35" s="8" t="str">
        <f aca="false">'Hasil Akurasi'!B7</f>
        <v>2W8P</v>
      </c>
      <c r="C35" s="7" t="n">
        <f aca="false">'Hasil Akurasi'!E7</f>
        <v>0.65</v>
      </c>
      <c r="D35" s="9" t="n">
        <f aca="false">'Hasil Akurasi'!F7</f>
        <v>0.5823</v>
      </c>
    </row>
    <row r="36" customFormat="false" ht="15" hidden="false" customHeight="false" outlineLevel="0" collapsed="false">
      <c r="B36" s="8" t="str">
        <f aca="false">'Hasil Akurasi'!B8</f>
        <v>8W2P</v>
      </c>
      <c r="C36" s="7" t="n">
        <f aca="false">'Hasil Akurasi'!E8</f>
        <v>0.6378</v>
      </c>
      <c r="D36" s="9" t="n">
        <f aca="false">'Hasil Akurasi'!F8</f>
        <v>0.5723</v>
      </c>
    </row>
    <row r="37" customFormat="false" ht="15" hidden="false" customHeight="false" outlineLevel="0" collapsed="false">
      <c r="B37" s="8" t="str">
        <f aca="false">'Hasil Akurasi'!B9</f>
        <v>8W8P</v>
      </c>
      <c r="C37" s="7" t="n">
        <f aca="false">'Hasil Akurasi'!E9</f>
        <v>0.6246</v>
      </c>
      <c r="D37" s="9" t="n">
        <f aca="false">'Hasil Akurasi'!F9</f>
        <v>0.5703</v>
      </c>
    </row>
    <row r="39" customFormat="false" ht="15" hidden="false" customHeight="false" outlineLevel="0" collapsed="false">
      <c r="B39" s="3" t="s">
        <v>409</v>
      </c>
    </row>
    <row r="40" customFormat="false" ht="21" hidden="false" customHeight="true" outlineLevel="0" collapsed="false">
      <c r="B40" s="4" t="s">
        <v>19</v>
      </c>
      <c r="C40" s="4" t="s">
        <v>410</v>
      </c>
      <c r="D40" s="4" t="s">
        <v>411</v>
      </c>
    </row>
    <row r="41" customFormat="false" ht="15" hidden="false" customHeight="false" outlineLevel="0" collapsed="false">
      <c r="B41" s="8" t="str">
        <f aca="false">'Perbandingan Baseline'!B7</f>
        <v>2W2P</v>
      </c>
      <c r="C41" s="10" t="n">
        <f aca="false">'Perbandingan Baseline'!C7</f>
        <v>94.41</v>
      </c>
      <c r="D41" s="10" t="n">
        <f aca="false">'Perbandingan Baseline'!D7</f>
        <v>264.76</v>
      </c>
    </row>
    <row r="42" customFormat="false" ht="15" hidden="false" customHeight="false" outlineLevel="0" collapsed="false">
      <c r="B42" s="8" t="str">
        <f aca="false">'Perbandingan Baseline'!B8</f>
        <v>2W8P</v>
      </c>
      <c r="C42" s="10" t="n">
        <f aca="false">'Perbandingan Baseline'!C8</f>
        <v>89.44</v>
      </c>
      <c r="D42" s="10" t="n">
        <f aca="false">'Perbandingan Baseline'!D8</f>
        <v>263.93</v>
      </c>
    </row>
    <row r="43" customFormat="false" ht="15" hidden="false" customHeight="false" outlineLevel="0" collapsed="false">
      <c r="B43" s="8" t="str">
        <f aca="false">'Perbandingan Baseline'!B9</f>
        <v>8W2P</v>
      </c>
      <c r="C43" s="10" t="n">
        <f aca="false">'Perbandingan Baseline'!C9</f>
        <v>91.87</v>
      </c>
      <c r="D43" s="10" t="n">
        <f aca="false">'Perbandingan Baseline'!D9</f>
        <v>280.25</v>
      </c>
    </row>
    <row r="44" customFormat="false" ht="15" hidden="false" customHeight="false" outlineLevel="0" collapsed="false">
      <c r="B44" s="8" t="str">
        <f aca="false">'Perbandingan Baseline'!B10</f>
        <v>8W8P</v>
      </c>
      <c r="C44" s="10" t="n">
        <f aca="false">'Perbandingan Baseline'!C10</f>
        <v>93.03</v>
      </c>
      <c r="D44" s="10" t="n">
        <f aca="false">'Perbandingan Baseline'!D10</f>
        <v>240.74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5" min="4" style="0" width="62"/>
  </cols>
  <sheetData>
    <row r="2" customFormat="false" ht="24" hidden="false" customHeight="true" outlineLevel="0" collapsed="false">
      <c r="B2" s="1" t="s">
        <v>412</v>
      </c>
    </row>
    <row r="3" customFormat="false" ht="15" hidden="false" customHeight="false" outlineLevel="0" collapsed="false">
      <c r="B3" s="2" t="s">
        <v>413</v>
      </c>
    </row>
    <row r="5" customFormat="false" ht="15" hidden="false" customHeight="false" outlineLevel="0" collapsed="false">
      <c r="B5" s="3" t="s">
        <v>414</v>
      </c>
    </row>
    <row r="6" customFormat="false" ht="21" hidden="false" customHeight="true" outlineLevel="0" collapsed="false">
      <c r="B6" s="4" t="s">
        <v>50</v>
      </c>
      <c r="C6" s="4" t="s">
        <v>212</v>
      </c>
      <c r="D6" s="4" t="s">
        <v>51</v>
      </c>
      <c r="E6" s="4" t="s">
        <v>415</v>
      </c>
    </row>
    <row r="7" customFormat="false" ht="33.75" hidden="false" customHeight="true" outlineLevel="0" collapsed="false">
      <c r="B7" s="8" t="n">
        <v>1</v>
      </c>
      <c r="C7" s="6" t="s">
        <v>416</v>
      </c>
      <c r="D7" s="6" t="s">
        <v>417</v>
      </c>
      <c r="E7" s="6" t="s">
        <v>418</v>
      </c>
    </row>
    <row r="8" customFormat="false" ht="33.75" hidden="false" customHeight="true" outlineLevel="0" collapsed="false">
      <c r="B8" s="8" t="n">
        <v>2</v>
      </c>
      <c r="C8" s="6" t="s">
        <v>419</v>
      </c>
      <c r="D8" s="6" t="s">
        <v>420</v>
      </c>
      <c r="E8" s="6" t="s">
        <v>421</v>
      </c>
    </row>
    <row r="9" customFormat="false" ht="33.75" hidden="false" customHeight="true" outlineLevel="0" collapsed="false">
      <c r="B9" s="8" t="n">
        <v>3</v>
      </c>
      <c r="C9" s="6" t="s">
        <v>422</v>
      </c>
      <c r="D9" s="6" t="s">
        <v>423</v>
      </c>
      <c r="E9" s="6" t="s">
        <v>424</v>
      </c>
    </row>
    <row r="10" customFormat="false" ht="33.75" hidden="false" customHeight="true" outlineLevel="0" collapsed="false">
      <c r="B10" s="8" t="n">
        <v>4</v>
      </c>
      <c r="C10" s="6" t="s">
        <v>425</v>
      </c>
      <c r="D10" s="6" t="s">
        <v>426</v>
      </c>
      <c r="E10" s="6" t="s">
        <v>427</v>
      </c>
    </row>
    <row r="11" customFormat="false" ht="33.75" hidden="false" customHeight="true" outlineLevel="0" collapsed="false">
      <c r="B11" s="8" t="n">
        <v>5</v>
      </c>
      <c r="C11" s="6" t="s">
        <v>428</v>
      </c>
      <c r="D11" s="6" t="s">
        <v>429</v>
      </c>
      <c r="E11" s="6" t="s">
        <v>430</v>
      </c>
    </row>
    <row r="12" customFormat="false" ht="33.75" hidden="false" customHeight="true" outlineLevel="0" collapsed="false">
      <c r="B12" s="8" t="n">
        <v>6</v>
      </c>
      <c r="C12" s="6" t="s">
        <v>431</v>
      </c>
      <c r="D12" s="6" t="s">
        <v>432</v>
      </c>
      <c r="E12" s="6" t="s">
        <v>433</v>
      </c>
    </row>
    <row r="13" customFormat="false" ht="33.75" hidden="false" customHeight="true" outlineLevel="0" collapsed="false">
      <c r="B13" s="8" t="n">
        <v>7</v>
      </c>
      <c r="C13" s="6" t="s">
        <v>434</v>
      </c>
      <c r="D13" s="6" t="s">
        <v>435</v>
      </c>
      <c r="E13" s="6" t="s">
        <v>436</v>
      </c>
    </row>
    <row r="14" customFormat="false" ht="48.75" hidden="false" customHeight="true" outlineLevel="0" collapsed="false">
      <c r="B14" s="8" t="n">
        <v>8</v>
      </c>
      <c r="C14" s="6" t="s">
        <v>437</v>
      </c>
      <c r="D14" s="6" t="s">
        <v>438</v>
      </c>
      <c r="E14" s="6" t="s">
        <v>439</v>
      </c>
    </row>
    <row r="15" customFormat="false" ht="33.75" hidden="false" customHeight="true" outlineLevel="0" collapsed="false">
      <c r="B15" s="8" t="n">
        <v>9</v>
      </c>
      <c r="C15" s="6" t="s">
        <v>440</v>
      </c>
      <c r="D15" s="6" t="s">
        <v>441</v>
      </c>
      <c r="E15" s="6" t="s">
        <v>442</v>
      </c>
    </row>
    <row r="16" customFormat="false" ht="48.75" hidden="false" customHeight="true" outlineLevel="0" collapsed="false">
      <c r="B16" s="8" t="n">
        <v>10</v>
      </c>
      <c r="C16" s="6" t="s">
        <v>443</v>
      </c>
      <c r="D16" s="6" t="s">
        <v>444</v>
      </c>
      <c r="E16" s="6" t="s">
        <v>445</v>
      </c>
    </row>
    <row r="17" customFormat="false" ht="33.75" hidden="false" customHeight="true" outlineLevel="0" collapsed="false">
      <c r="B17" s="8" t="n">
        <v>11</v>
      </c>
      <c r="C17" s="6" t="s">
        <v>446</v>
      </c>
      <c r="D17" s="6" t="s">
        <v>447</v>
      </c>
      <c r="E17" s="6" t="s">
        <v>448</v>
      </c>
    </row>
    <row r="18" customFormat="false" ht="48.75" hidden="false" customHeight="true" outlineLevel="0" collapsed="false">
      <c r="B18" s="8" t="n">
        <v>12</v>
      </c>
      <c r="C18" s="6" t="s">
        <v>449</v>
      </c>
      <c r="D18" s="6" t="s">
        <v>450</v>
      </c>
      <c r="E18" s="6" t="s">
        <v>451</v>
      </c>
    </row>
    <row r="20" customFormat="false" ht="15" hidden="false" customHeight="false" outlineLevel="0" collapsed="false">
      <c r="B20" s="3" t="s">
        <v>452</v>
      </c>
    </row>
    <row r="21" customFormat="false" ht="21" hidden="false" customHeight="true" outlineLevel="0" collapsed="false">
      <c r="B21" s="4" t="s">
        <v>50</v>
      </c>
      <c r="C21" s="4" t="s">
        <v>212</v>
      </c>
      <c r="D21" s="5" t="s">
        <v>4</v>
      </c>
      <c r="E21" s="5"/>
    </row>
    <row r="22" customFormat="false" ht="33.75" hidden="false" customHeight="true" outlineLevel="0" collapsed="false">
      <c r="B22" s="8" t="n">
        <v>1</v>
      </c>
      <c r="C22" s="6" t="s">
        <v>453</v>
      </c>
      <c r="D22" s="6" t="s">
        <v>454</v>
      </c>
      <c r="E22" s="6"/>
    </row>
    <row r="23" customFormat="false" ht="33.75" hidden="false" customHeight="true" outlineLevel="0" collapsed="false">
      <c r="B23" s="8" t="n">
        <v>2</v>
      </c>
      <c r="C23" s="6" t="s">
        <v>455</v>
      </c>
      <c r="D23" s="6" t="s">
        <v>456</v>
      </c>
      <c r="E23" s="6"/>
    </row>
    <row r="24" customFormat="false" ht="18.75" hidden="false" customHeight="true" outlineLevel="0" collapsed="false">
      <c r="B24" s="8" t="n">
        <v>3</v>
      </c>
      <c r="C24" s="6" t="s">
        <v>457</v>
      </c>
      <c r="D24" s="6" t="s">
        <v>458</v>
      </c>
      <c r="E24" s="6"/>
    </row>
    <row r="25" customFormat="false" ht="18.75" hidden="false" customHeight="true" outlineLevel="0" collapsed="false">
      <c r="B25" s="8" t="n">
        <v>4</v>
      </c>
      <c r="C25" s="6" t="s">
        <v>459</v>
      </c>
      <c r="D25" s="6" t="s">
        <v>460</v>
      </c>
      <c r="E25" s="6"/>
    </row>
    <row r="27" customFormat="false" ht="15" hidden="false" customHeight="false" outlineLevel="0" collapsed="false">
      <c r="B27" s="3" t="s">
        <v>461</v>
      </c>
    </row>
    <row r="28" customFormat="false" ht="21" hidden="false" customHeight="true" outlineLevel="0" collapsed="false">
      <c r="B28" s="4" t="s">
        <v>50</v>
      </c>
      <c r="C28" s="4" t="s">
        <v>212</v>
      </c>
      <c r="D28" s="5" t="s">
        <v>4</v>
      </c>
      <c r="E28" s="5"/>
    </row>
    <row r="29" customFormat="false" ht="18.75" hidden="false" customHeight="true" outlineLevel="0" collapsed="false">
      <c r="B29" s="8" t="n">
        <v>1</v>
      </c>
      <c r="C29" s="6" t="s">
        <v>462</v>
      </c>
      <c r="D29" s="6" t="s">
        <v>463</v>
      </c>
      <c r="E29" s="6"/>
    </row>
    <row r="30" customFormat="false" ht="18.75" hidden="false" customHeight="true" outlineLevel="0" collapsed="false">
      <c r="B30" s="8" t="n">
        <v>2</v>
      </c>
      <c r="C30" s="6" t="s">
        <v>464</v>
      </c>
      <c r="D30" s="6" t="s">
        <v>465</v>
      </c>
      <c r="E30" s="6"/>
    </row>
    <row r="31" customFormat="false" ht="18.75" hidden="false" customHeight="true" outlineLevel="0" collapsed="false">
      <c r="B31" s="8" t="n">
        <v>3</v>
      </c>
      <c r="C31" s="6" t="s">
        <v>466</v>
      </c>
      <c r="D31" s="6" t="s">
        <v>467</v>
      </c>
      <c r="E31" s="6"/>
    </row>
    <row r="32" customFormat="false" ht="18.75" hidden="false" customHeight="true" outlineLevel="0" collapsed="false">
      <c r="B32" s="8" t="n">
        <v>4</v>
      </c>
      <c r="C32" s="6" t="s">
        <v>468</v>
      </c>
      <c r="D32" s="6" t="s">
        <v>469</v>
      </c>
      <c r="E32" s="6"/>
    </row>
    <row r="33" customFormat="false" ht="18.75" hidden="false" customHeight="true" outlineLevel="0" collapsed="false">
      <c r="B33" s="8" t="n">
        <v>5</v>
      </c>
      <c r="C33" s="6" t="s">
        <v>470</v>
      </c>
      <c r="D33" s="6" t="s">
        <v>471</v>
      </c>
      <c r="E33" s="6"/>
    </row>
    <row r="34" customFormat="false" ht="18.75" hidden="false" customHeight="true" outlineLevel="0" collapsed="false">
      <c r="B34" s="8" t="n">
        <v>6</v>
      </c>
      <c r="C34" s="6" t="s">
        <v>472</v>
      </c>
      <c r="D34" s="6" t="s">
        <v>473</v>
      </c>
      <c r="E34" s="6"/>
    </row>
    <row r="36" customFormat="false" ht="15" hidden="false" customHeight="false" outlineLevel="0" collapsed="false">
      <c r="B36" s="3" t="s">
        <v>474</v>
      </c>
    </row>
    <row r="37" customFormat="false" ht="21" hidden="false" customHeight="true" outlineLevel="0" collapsed="false">
      <c r="B37" s="4" t="s">
        <v>50</v>
      </c>
      <c r="C37" s="4" t="s">
        <v>212</v>
      </c>
      <c r="D37" s="5" t="s">
        <v>4</v>
      </c>
      <c r="E37" s="5"/>
    </row>
    <row r="38" customFormat="false" ht="18.75" hidden="false" customHeight="true" outlineLevel="0" collapsed="false">
      <c r="B38" s="8" t="n">
        <v>1</v>
      </c>
      <c r="C38" s="6" t="s">
        <v>475</v>
      </c>
      <c r="D38" s="6" t="s">
        <v>476</v>
      </c>
      <c r="E38" s="6"/>
    </row>
    <row r="39" customFormat="false" ht="18.75" hidden="false" customHeight="true" outlineLevel="0" collapsed="false">
      <c r="B39" s="8" t="n">
        <v>2</v>
      </c>
      <c r="C39" s="6" t="s">
        <v>477</v>
      </c>
      <c r="D39" s="6" t="s">
        <v>478</v>
      </c>
      <c r="E39" s="6"/>
    </row>
    <row r="40" customFormat="false" ht="18.75" hidden="false" customHeight="true" outlineLevel="0" collapsed="false">
      <c r="B40" s="8" t="n">
        <v>3</v>
      </c>
      <c r="C40" s="6" t="s">
        <v>479</v>
      </c>
      <c r="D40" s="6" t="s">
        <v>480</v>
      </c>
      <c r="E40" s="6"/>
    </row>
    <row r="41" customFormat="false" ht="18.75" hidden="false" customHeight="true" outlineLevel="0" collapsed="false">
      <c r="B41" s="8" t="n">
        <v>4</v>
      </c>
      <c r="C41" s="6" t="s">
        <v>481</v>
      </c>
      <c r="D41" s="6" t="s">
        <v>482</v>
      </c>
      <c r="E41" s="6"/>
    </row>
    <row r="42" customFormat="false" ht="18.75" hidden="false" customHeight="true" outlineLevel="0" collapsed="false">
      <c r="B42" s="8" t="n">
        <v>5</v>
      </c>
      <c r="C42" s="6" t="s">
        <v>483</v>
      </c>
      <c r="D42" s="6" t="s">
        <v>484</v>
      </c>
      <c r="E42" s="6"/>
    </row>
    <row r="43" customFormat="false" ht="18.75" hidden="false" customHeight="true" outlineLevel="0" collapsed="false">
      <c r="B43" s="8" t="n">
        <v>6</v>
      </c>
      <c r="C43" s="6" t="s">
        <v>485</v>
      </c>
      <c r="D43" s="6" t="s">
        <v>486</v>
      </c>
      <c r="E43" s="6"/>
    </row>
  </sheetData>
  <mergeCells count="19">
    <mergeCell ref="D21:E21"/>
    <mergeCell ref="D22:E22"/>
    <mergeCell ref="D23:E23"/>
    <mergeCell ref="D24:E24"/>
    <mergeCell ref="D25:E25"/>
    <mergeCell ref="D28:E28"/>
    <mergeCell ref="D29:E29"/>
    <mergeCell ref="D30:E30"/>
    <mergeCell ref="D31:E31"/>
    <mergeCell ref="D32:E32"/>
    <mergeCell ref="D33:E33"/>
    <mergeCell ref="D34:E34"/>
    <mergeCell ref="D37:E37"/>
    <mergeCell ref="D38:E38"/>
    <mergeCell ref="D39:E39"/>
    <mergeCell ref="D40:E40"/>
    <mergeCell ref="D41:E41"/>
    <mergeCell ref="D42:E42"/>
    <mergeCell ref="D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2026-09-29T08:14:09Z</dcterms:created>
  <dc:creator>openpyxl</dc:creator>
  <dc:description/>
  <dc:language>en-US</dc:language>
  <cp:lastModifiedBy/>
  <dcterms:modified xsi:type="dcterms:W3CDTF">2026-09-29T08:14:11Z</dcterms:modified>
  <cp:revision>1</cp:revision>
  <dc:subject/>
  <dc:title>Laporan Preprocessing Jurnal Klasifikasi Kanker Kulit - Spark on YARN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